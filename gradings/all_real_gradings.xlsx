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erfanarvan/Desktop/comprehensibilityProject/replication/on-the-reliability-of-code-comprehension-proxies-replication/"/>
    </mc:Choice>
  </mc:AlternateContent>
  <xr:revisionPtr revIDLastSave="0" documentId="13_ncr:1_{CF08305F-6707-C54D-B389-371475BC03B1}" xr6:coauthVersionLast="47" xr6:coauthVersionMax="47" xr10:uidLastSave="{00000000-0000-0000-0000-000000000000}"/>
  <bookViews>
    <workbookView xWindow="0" yWindow="500" windowWidth="25600" windowHeight="138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TJc74Ak71vwCoLuxczr1dZlipuMsEzyhYmuJSh/eknU="/>
    </ext>
  </extLst>
</workbook>
</file>

<file path=xl/calcChain.xml><?xml version="1.0" encoding="utf-8"?>
<calcChain xmlns="http://schemas.openxmlformats.org/spreadsheetml/2006/main">
  <c r="Q309" i="1" l="1"/>
  <c r="Q308" i="1"/>
  <c r="Q306" i="1"/>
  <c r="Q304" i="1"/>
  <c r="Q303" i="1"/>
  <c r="Q301" i="1"/>
  <c r="Q300" i="1"/>
  <c r="Q298" i="1"/>
  <c r="Q296" i="1"/>
  <c r="Q295" i="1"/>
  <c r="Q294" i="1"/>
  <c r="Q292" i="1"/>
  <c r="Q290" i="1"/>
  <c r="Q288" i="1"/>
  <c r="Q287" i="1"/>
  <c r="Q286" i="1"/>
  <c r="Q285" i="1"/>
  <c r="Q284" i="1"/>
  <c r="Q281" i="1"/>
  <c r="Q280" i="1"/>
  <c r="Q278" i="1"/>
  <c r="Q277" i="1"/>
  <c r="Q275" i="1"/>
  <c r="Q272" i="1"/>
  <c r="Q268" i="1"/>
  <c r="Q266" i="1"/>
  <c r="Q264" i="1"/>
  <c r="Q263" i="1"/>
  <c r="Q261" i="1"/>
  <c r="Q259" i="1"/>
  <c r="Q257" i="1"/>
  <c r="Q256" i="1"/>
  <c r="Q252" i="1"/>
  <c r="Q251" i="1"/>
  <c r="Q250" i="1"/>
  <c r="Q248" i="1"/>
  <c r="Q247" i="1"/>
  <c r="Q245" i="1"/>
  <c r="Q244" i="1"/>
  <c r="Q243" i="1"/>
  <c r="Q240" i="1"/>
  <c r="Q238" i="1"/>
  <c r="Q237" i="1"/>
  <c r="Q235" i="1"/>
  <c r="Q234" i="1"/>
  <c r="Q232" i="1"/>
  <c r="Q229" i="1"/>
  <c r="Q227" i="1"/>
  <c r="Q225" i="1"/>
  <c r="Q224" i="1"/>
  <c r="Q223" i="1"/>
  <c r="Q222" i="1"/>
  <c r="Q221" i="1"/>
  <c r="Q220" i="1"/>
  <c r="Q216" i="1"/>
  <c r="Q215" i="1"/>
  <c r="Q214" i="1"/>
  <c r="Q205" i="1"/>
  <c r="Q203" i="1"/>
  <c r="Q199" i="1"/>
  <c r="Q196" i="1"/>
  <c r="Q195" i="1"/>
  <c r="Q194" i="1"/>
  <c r="Q193" i="1"/>
  <c r="Q192" i="1"/>
  <c r="Q187" i="1"/>
  <c r="Q186" i="1"/>
  <c r="Q184" i="1"/>
  <c r="Q182" i="1"/>
  <c r="Q181" i="1"/>
  <c r="Q178" i="1"/>
  <c r="Q175" i="1"/>
  <c r="Q173" i="1"/>
  <c r="Q165" i="1"/>
  <c r="Q163" i="1"/>
  <c r="Q160" i="1"/>
  <c r="Q154" i="1"/>
  <c r="Q152" i="1"/>
  <c r="Q150" i="1"/>
  <c r="Q149" i="1"/>
  <c r="Q148" i="1"/>
  <c r="Q146" i="1"/>
  <c r="Q144" i="1"/>
  <c r="Q143" i="1"/>
  <c r="Q141" i="1"/>
  <c r="Q138" i="1"/>
  <c r="Q137" i="1"/>
  <c r="Q136" i="1"/>
  <c r="Q129" i="1"/>
  <c r="Q128" i="1"/>
  <c r="Q127" i="1"/>
  <c r="Q125" i="1"/>
  <c r="Q122" i="1"/>
  <c r="Q121" i="1"/>
  <c r="Q120" i="1"/>
  <c r="Q119" i="1"/>
  <c r="Q118" i="1"/>
  <c r="Q117" i="1"/>
  <c r="Q114" i="1"/>
  <c r="Q109" i="1"/>
  <c r="Q107" i="1"/>
  <c r="Q103" i="1"/>
  <c r="Q101" i="1"/>
  <c r="Q99" i="1"/>
  <c r="Q93" i="1"/>
  <c r="Q92" i="1"/>
  <c r="Q90" i="1"/>
  <c r="Q89" i="1"/>
  <c r="Q88" i="1"/>
  <c r="Q87" i="1"/>
  <c r="Q86" i="1"/>
  <c r="Q85" i="1"/>
  <c r="Q83" i="1"/>
  <c r="Q82" i="1"/>
  <c r="Q80" i="1"/>
  <c r="Q78" i="1"/>
  <c r="Q77" i="1"/>
  <c r="Q76" i="1"/>
  <c r="Q75" i="1"/>
  <c r="Q74" i="1"/>
  <c r="Q72" i="1"/>
  <c r="Q71" i="1"/>
  <c r="Q69" i="1"/>
  <c r="Q68" i="1"/>
  <c r="Q67" i="1"/>
  <c r="Q66" i="1"/>
  <c r="Q64" i="1"/>
  <c r="Q61" i="1"/>
  <c r="Q58" i="1"/>
  <c r="Q52" i="1"/>
  <c r="Q50" i="1"/>
  <c r="Q45" i="1"/>
  <c r="Q43" i="1"/>
  <c r="Q42" i="1"/>
  <c r="Q41" i="1"/>
  <c r="Q39" i="1"/>
  <c r="Q38" i="1"/>
  <c r="Q34" i="1"/>
  <c r="Q31" i="1"/>
  <c r="Q29" i="1"/>
  <c r="Q24" i="1"/>
  <c r="Q22" i="1"/>
  <c r="Q19" i="1"/>
  <c r="Q18" i="1"/>
  <c r="Q15" i="1"/>
  <c r="Q14" i="1"/>
  <c r="Q13" i="1"/>
  <c r="Q11" i="1"/>
  <c r="Q5" i="1"/>
  <c r="Q3" i="1"/>
  <c r="Q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01" authorId="0" shapeId="0" xr:uid="{00000000-0006-0000-0000-000001000000}">
      <text>
        <r>
          <rPr>
            <sz val="12"/>
            <color theme="1"/>
            <rFont val="Aptos Narrow"/>
            <scheme val="minor"/>
          </rPr>
          <t>======
ID#AAAB1_wkIEQ
Oscar Chaparro    (2026-03-17 12:22:43)
@ea442@njit.edu see this one</t>
        </r>
      </text>
    </comment>
    <comment ref="D164" authorId="0" shapeId="0" xr:uid="{00000000-0006-0000-0000-000002000000}">
      <text>
        <r>
          <rPr>
            <sz val="12"/>
            <color theme="1"/>
            <rFont val="Aptos Narrow"/>
            <scheme val="minor"/>
          </rPr>
          <t>======
ID#AAAB161zjhA
Nadeeshan De Silva    (2026-03-16 19:42:23)
@ojcch1@gmail.com , @martin.kellogg@njit.edu we need your input here
------
ID#AAAB1_H6Zgk
Oscar Chaparro    (2026-03-17 11:42:45)
This is missing the intent and I agree is a bit vague. For that reason, I would give a 3. 
I wouldn't split hairs for semantics between "checking if exists" and "verifying" -- probably the student meant "verifying"
@ea442@njit.edu @kgdesilva@wm.edu thoughts?
------
ID#AAAB1_EaeYQ
Erfan Arvan    (2026-03-17 13:41:02)
I am fine with a 3
------
ID#AAAB1_YvBu0
Nadeeshan De Silva    (2026-03-17 15:23:36)
On row 37 we agreed not to assume anything from the answers. Anyways I'm ok with 3</t>
        </r>
      </text>
    </comment>
    <comment ref="F189" authorId="0" shapeId="0" xr:uid="{00000000-0006-0000-0000-000004000000}">
      <text>
        <r>
          <rPr>
            <sz val="12"/>
            <color theme="1"/>
            <rFont val="Aptos Narrow"/>
            <scheme val="minor"/>
          </rPr>
          <t>======
ID#AAAB1r276HY
Martin Kellogg    (2026-03-12 21:29:50)
@ea442@njit.edu we should exclude this one
------
ID#AAAB1_dQStU
Oscar Chaparro    (2026-03-17 11:54:32)
explained earlier where? @ea442@njit.edu can we check where is this person's answer?</t>
        </r>
      </text>
    </comment>
    <comment ref="D265" authorId="0" shapeId="0" xr:uid="{00000000-0006-0000-0000-000003000000}">
      <text>
        <r>
          <rPr>
            <sz val="12"/>
            <color theme="1"/>
            <rFont val="Aptos Narrow"/>
            <scheme val="minor"/>
          </rPr>
          <t>======
ID#AAAB1wfBqgo
Erfan Arvan    (2026-03-14 13:46:45)
@ojcch1@gmail.com @kgdesilva@wm.edu We need your opinion on this, please
------
ID#AAAB1wfBqg0
Nadeeshan De Silva    (2026-03-14 14:41:00)
Actually y/x division will be eventually  converted to a single number (in algorithmic POV).  However for "out of bounds" part is wrong, I'm feeling this person just repeats what the title says, and do not have a clear idea what the method do. So I'm okay with even 1.
------
ID#AAAB1_H6Zgs
Oscar Chaparro    (2026-03-17 11:50:50)
I agree with Martin that this person knows the difference between atan and atan2, but at the same time I agree with Erfan that this is kind of vague and "for any number" is kind of weird.
Nadeeshan, this cannot be found in the method name "even it is outside the bounds of atan", so this means this person. understands more than the method name.
So, taken all this together, I think this could be 3 or 4. I am ok with 4 if everyone agrees.
@ea442@njit.edu @kgdesilva@wm.edu thoughts?
------
ID#AAAB1_EaeYU
Erfan Arvan    (2026-03-17 13:43:07)
agreed</t>
        </r>
      </text>
    </comment>
  </commentList>
  <extLst>
    <ext xmlns:r="http://schemas.openxmlformats.org/officeDocument/2006/relationships" uri="GoogleSheetsCustomDataVersion2">
      <go:sheetsCustomData xmlns:go="http://customooxmlschemas.google.com/" r:id="rId1" roundtripDataSignature="AMtx7mjVst+L828jmfsWge2iSJ6PjlI20g=="/>
    </ext>
  </extLst>
</comments>
</file>

<file path=xl/sharedStrings.xml><?xml version="1.0" encoding="utf-8"?>
<sst xmlns="http://schemas.openxmlformats.org/spreadsheetml/2006/main" count="2936" uniqueCount="881">
  <si>
    <t>student_id</t>
  </si>
  <si>
    <t>snippet</t>
  </si>
  <si>
    <t>graders</t>
  </si>
  <si>
    <t>comments</t>
  </si>
  <si>
    <t>final grade</t>
  </si>
  <si>
    <t>student673364615</t>
  </si>
  <si>
    <t>snippet-1.function.answer</t>
  </si>
  <si>
    <t>This code snippet checks for the validity of a name used as a Project Name. It checks to see if the name is not null, and then it checks to see if the name starts with a period, or if it has an invalid length. It iterates through each letter to make sure its a valid letter, and then it returns true if all the criteria for the name are met.</t>
  </si>
  <si>
    <t>although it did not explicitly mention letter or digit</t>
  </si>
  <si>
    <t>snippet-2.function.answer</t>
  </si>
  <si>
    <t>This code snippet checks to see if the uri inputted is a valid FileSystemPath. It then checks to see if the scheme received from the getScheme method returns a valid input. If not, the value false is returned. Otherwise, if the scheme is "jar", false is also returned. If the scheme is "file", or any other value, true is returned.</t>
  </si>
  <si>
    <t>line-by-line</t>
  </si>
  <si>
    <t>key details are there but it is missing the intent</t>
  </si>
  <si>
    <t>snippet-3.function.answer</t>
  </si>
  <si>
    <t>This code snippet takes a type as input and then makes sure that its a known machine type. It then analyzes each field by checking to see if the field is synthetic. After it gets the modifiers and stores it in an integer, it checks to see if the modifies are final and whether they are static. If the field type is a short, then it returns true. Otherwise, if these checks fail, it returns false.</t>
  </si>
  <si>
    <t>misundrestood the intent (e.g., "If the field type is a short, then it returns true"); somehow line by line description; some elements are still correct</t>
  </si>
  <si>
    <t>im ok with 2</t>
  </si>
  <si>
    <t>I still think it is wrong; I can go with a 3 if you insist</t>
  </si>
  <si>
    <t>snippet-4.function.answer</t>
  </si>
  <si>
    <t>This code snippet checks for the index corresponding to the match between the two strings (str and searchStr). It starts at the starting index and increments to where the searchStr is completely matched to the substring of str that is marked by the incremented index i. Once a match is found, that value of i (or the index of the final match) is returned.</t>
  </si>
  <si>
    <t>missing key points; no mention about case-insensitive match, no mention about the first occurance of the search string, startPos</t>
  </si>
  <si>
    <t>vague explanation, incorrect intent: first occurance. Missed important aspects: ignore case, startpose; some elements are still correct</t>
  </si>
  <si>
    <t>snippet-5.function.answer</t>
  </si>
  <si>
    <t>The code snippet confirms if the root exists. Next, it overrides two methods depending on if the file is a regular file or directory. It deletes either the file or the directory depending on the input type, and then returns true once successful.</t>
  </si>
  <si>
    <t>this person clearly doesn't understand the method</t>
  </si>
  <si>
    <t>one aspect is missing: directory itself being deleted (and minor: recursively is missing); I am not sure if it is a line by line description, in that case I would give a 3</t>
  </si>
  <si>
    <t>I still think this is a 2, because the person is just describing the structure of the code not its functionality as a whole. it misses the intention and recursive delete which is important.</t>
  </si>
  <si>
    <t>agreed. it seems they did not undrestand the deletion of what is inside the root. But some elements are correct</t>
  </si>
  <si>
    <t>snippet-6.function.answer</t>
  </si>
  <si>
    <t>The code snippet checks the length of the inputted sequence and checks to see if the first character is less than 80 bits long. It then iteratively checks for each letter and ensures that its less than 800 bits long. It throws an illegal argument exception the UTF-8 length doe snot fit within the int that was inputted.</t>
  </si>
  <si>
    <t>SOTT: "80 bits long", "800 bits long", "int that was inputted"
line-by-line</t>
  </si>
  <si>
    <t>competely wrong</t>
  </si>
  <si>
    <t>ok with 1</t>
  </si>
  <si>
    <t>snippet-7.function.answer</t>
  </si>
  <si>
    <t>This code snippet calculates the determinant using three inputted numbers, and then it takes the square root of the determinant. Using this determinant, it calculates the values of r1 and r2 using the positive and negative versions of the quadratic function calculations. If r1 is bigger than r2, the two values are switched. Depending on if either r1 or r2 are positive, that value is returned. Otherwise, a null value is returned.</t>
  </si>
  <si>
    <t>not very concise but everything is there</t>
  </si>
  <si>
    <t>vague explanation; I do not think it undrestood returning the "smallest" positive root but undrestood the quadratic formula; potentially they did not undrestand the meaning of r1 and r2</t>
  </si>
  <si>
    <t>I would be ok with a 4: he mentions "the quadratic function" so he knows what the code is doing, but perhaps the intention needs to be made explicit.</t>
  </si>
  <si>
    <t>Agreed</t>
  </si>
  <si>
    <t>snippet-8.function.answer</t>
  </si>
  <si>
    <t>This code snippet takes the float value of y divided by x and then checks to make sure if its not equal to itself. If the float is not equal to itself, and y is equal to x, the float is set to 1. Otherwise, its -1. If the difference of n subtracted from itself is not the same when done twice, then x is set to 0. Next, a series of checks determine if x or y are positive, if one or the other are positive, or if neither are positive. Depending on the outcome, the arctangent of the original float value is taken to determine what the proper trig value would be. At the end, the sum of x and y is returned.</t>
  </si>
  <si>
    <t>line-by-line, doesn't understand purpose of FP ops</t>
  </si>
  <si>
    <t>intent missing</t>
  </si>
  <si>
    <t>I still think 2 is the right grade here. I agree the intent is missing, but the summary also misses other key points (e.g., the point of the floating point ops).</t>
  </si>
  <si>
    <t>I don't think we should penalize this person too much just because he didn't mention the floating-point operations and maybe other details (these are details that are not so important IMO)</t>
  </si>
  <si>
    <t>I am more comfortable with a 3 since they also mentioned arctangent in the explanation</t>
  </si>
  <si>
    <t>student025630924</t>
  </si>
  <si>
    <t xml:space="preserve">This method makes sure that a string that is passed to the function isValidProjectName is a valid string name based of the criteria it has
</t>
  </si>
  <si>
    <t>vague</t>
  </si>
  <si>
    <t>captures general intent but misses important aspects</t>
  </si>
  <si>
    <t>ok with 3</t>
  </si>
  <si>
    <t>I still think 3 would be more fair</t>
  </si>
  <si>
    <t xml:space="preserve">I don't know
</t>
  </si>
  <si>
    <t>?</t>
  </si>
  <si>
    <t>We are iterating through the each field in a MachineTypeDefined, and getting the declared fields, than we check if the field isSynthetic. If it is than we get the field modifiers, now if the modifier isFinal and it is staic than we try to use method .getshort on the firld and return true if it equals type.</t>
  </si>
  <si>
    <t>just line by line explanation.</t>
  </si>
  <si>
    <t>missed UNKNOWN check + a bit vague but not as much as a 3</t>
  </si>
  <si>
    <t>I agree that it is line by line without showing undrestanding of what happens</t>
  </si>
  <si>
    <t>It returns the index of a searchstr within in str and the start pos</t>
  </si>
  <si>
    <t>missing saying the case-insentivity search</t>
  </si>
  <si>
    <t>captures the genral intent in a vague manner; missed almost all other important aspects. It can be a 2 as well!</t>
  </si>
  <si>
    <t>It deletes recursively files within that directory</t>
  </si>
  <si>
    <t>missing directory deletion</t>
  </si>
  <si>
    <t>missesed deletion of child dirs; missed the deletion of the dir itself; a bit vague wording</t>
  </si>
  <si>
    <t>I don't know</t>
  </si>
  <si>
    <t>This code is calculating the lowest positive root given the three parameters. It follows a sequence of if statements to weed out cases.</t>
  </si>
  <si>
    <t>I think it misses several key details: quadratic function, formula, etc.</t>
  </si>
  <si>
    <t>did not undrestand the intent at all; apparently only guessed based on the name; the some elements are correct</t>
  </si>
  <si>
    <t>ok with 2</t>
  </si>
  <si>
    <t>This code passes two parameters. Than calculated n. Checks if n is still equal to itself. if not it checks if n-n is not equal to n-n. than it returns atanUncheked if x is greater, than returns atanunchecked(n) +pi if x is less than 0 but y is greater than or equal to 0. It runs through a series of if statements.</t>
  </si>
  <si>
    <t>line by line description</t>
  </si>
  <si>
    <t>this has at least a few minor things correct, so it should definitely be a 2</t>
  </si>
  <si>
    <t>WMstudent610653370</t>
  </si>
  <si>
    <t>checks if a project name is valid based on it's length and characters</t>
  </si>
  <si>
    <t>intent is there but missing key details</t>
  </si>
  <si>
    <t>Sumary is too shallow. No length constraints, which character restrictions are there, not valid starting characters.</t>
  </si>
  <si>
    <t>Checks whether or not a URI has a file scheme</t>
  </si>
  <si>
    <t>wrong!</t>
  </si>
  <si>
    <t>completely wrong; does not worth a 2 IMO</t>
  </si>
  <si>
    <t>I am not sure what CoffMachineType is. It seems to be checking if the fields are static and final and then if they match the type passed to the method.</t>
  </si>
  <si>
    <t>missing intent</t>
  </si>
  <si>
    <t>as per grading rules, we should assign at most 3 if it misses the intent</t>
  </si>
  <si>
    <t>It searches for a certain sequence of characters in a different sequence of characters, ignoring uppercase/lowercase differences.</t>
  </si>
  <si>
    <t>If it mentions case-insensitive behavior but misses startPos, assign at most 4.</t>
  </si>
  <si>
    <t>captures the general intent but misses some important aspects: the first occurance, and after the startPose</t>
  </si>
  <si>
    <t>I still think 4 is right here. This seems like the textbook version of the rule that I quoted.</t>
  </si>
  <si>
    <t>agreed</t>
  </si>
  <si>
    <t>It deletes files and directories under a certain root</t>
  </si>
  <si>
    <t>Implies recursion, but doesn't state it explicitly. Doesn't mention that the root is also deleted.</t>
  </si>
  <si>
    <t>missing recursive deletion</t>
  </si>
  <si>
    <t>checks whether a character sequence would fit inside an int and returns the UTF-8 length if it does</t>
  </si>
  <si>
    <t>Sorry for the lack of explanation.
I don't think this is correct: "check whether a ...sequence would fit inside an int" because the code is not doing that.
"returns the utf-8 length" of what?
I don't think this person is really understanding the method.
The grade might be 1 or 2. I am fine either way.</t>
  </si>
  <si>
    <t>I do not understand why it is wrong. It says "returns the UTF-8 char length"</t>
  </si>
  <si>
    <t>it is finding the roots of a quadratic and returning the smallest positive one</t>
  </si>
  <si>
    <t>It does some kind of arc tangent operation (maybe squared?), it has been a while since I have taken calc.</t>
  </si>
  <si>
    <t>a bit vague</t>
  </si>
  <si>
    <t>"squared" is definitely wrong, which is why I gave it a 1. I don't think this summary captures the intent at all, and stand by 1.</t>
  </si>
  <si>
    <t>I agree that using "squared" is an error. However, I think a grade of 1 would be too low. They mentioned "arc tangent", which suggests that they partially captured the main intent. Even if we do not consider that as capturing part of the main intent, they should receive at least a 2 because they correctly identified "arc tangent." I am now more comfortable with giving a 3, but if you insist, I would also be okay with a 2.</t>
  </si>
  <si>
    <t>student694912523</t>
  </si>
  <si>
    <t>It takes a string for name, checks to see if it is null, beginning with a dot, or if its length is between 0 and a constant name length. If valid, will then pass to a loop to check if the name is in a defined set of valid names by iterating over each character and checking if its in the set and validating it is a letter. returns true if valid</t>
  </si>
  <si>
    <t>length requriement is wrong. Length Should be 1 and Max not 0</t>
  </si>
  <si>
    <t>This is too minor IMO, it may even be a typo. I don't think we should penalize this.
This person clearly understands the method, so why penalize it?</t>
  </si>
  <si>
    <t>Length requirement is a minor thing. But still it is wrong.  I'm sticking to 4.</t>
  </si>
  <si>
    <t>It will check if a given uri is coming locally (from the machine) or if its remotely hosted by checking if it is a system path or if its extension is 'file' or 'jar. If it does not match any of these, it is remote and returns true.</t>
  </si>
  <si>
    <t>do not mention local file system check and do not mention null scheme check</t>
  </si>
  <si>
    <t>this is a 5! great description. This person mentions "coming locally from machine" and "if it is a system path", which are essentially "local file system"</t>
  </si>
  <si>
    <t>I gave 3 based on the rubric, "filesystem path check is an important aspect. If it is missing, the response should receive at most 3."</t>
  </si>
  <si>
    <t>Yeah! I agree about file system path; but for null check we decided not to consider penalty; so 4?</t>
  </si>
  <si>
    <t>It will check if an passed value (short value) falls inside the list of defined fields by getting all the fields, ensuring the field is not synthetic, and has modifiers final and static, and then checking if the passed short matches any of the fields</t>
  </si>
  <si>
    <t>key details are there but intent is missing</t>
  </si>
  <si>
    <t>ok with 3: core intent is missing</t>
  </si>
  <si>
    <t>It will check a string to find out where the start of the string that is meant to be ignored in some unknown string. As long as string is of a valud length and the string to check for is not bigger than the string</t>
  </si>
  <si>
    <t>non sense</t>
  </si>
  <si>
    <t xml:space="preserve">given a root path to follow, the method will traverse down a given directory and delete all the files in the directory until empty, then deleting the directory. </t>
  </si>
  <si>
    <t>Missing recursive, did not explictly mention deleting directories, but root delete will automatically deletes everything.</t>
  </si>
  <si>
    <t>missess the deletion of child dirs. I wish I could give them a 4.5!</t>
  </si>
  <si>
    <t>3 is okay</t>
  </si>
  <si>
    <t>When provided a sequence, it records the length in 2 variable for comparison. It will iterate across the sequence until it encounters a value with point higher then 0x80 where, where it will then add to the value of utf8length (if it is lower than 0x800) after a shift, or added a different value returned from another method if it is higher. then utf8length is returned</t>
  </si>
  <si>
    <t>line by line description. The idea is kinda wrong. Gave 2 because they identified return a utf8 length finally, unless I will go with 1</t>
  </si>
  <si>
    <t>misses the intent; a line by line description with some errors; I am okay with 3 as well</t>
  </si>
  <si>
    <t>Will take input a,b,c to perform calculations, adding or subtracting the sqrt of the value det to a consistent formula. If after the calculation, r2 (added version) is smaller than r1, it will swap their values to always return the lowest positive root.</t>
  </si>
  <si>
    <t>right track but vague</t>
  </si>
  <si>
    <t>misses the intent</t>
  </si>
  <si>
    <t>It will perform a calculation depending on the values of x and y. where if x is positive, it passes n to another function, but if is negative and y is positive (or 0) will pass to unchecked(n) and return the value plus PI. If x and y are negative, it will subtract PI instead. 
However if x = 0, and y is positive, it will return x + half_pi, or subtract half_pi if y is negative. 
returns 0 otherwise (x and y = 0)</t>
  </si>
  <si>
    <t>line by line description and this is totally wrong</t>
  </si>
  <si>
    <t>This answer could be applied to any computation to do with two variables! I still do not think the response is correct. I'm stick to 1.</t>
  </si>
  <si>
    <t>student148378008</t>
  </si>
  <si>
    <t>It traverses through each character in the input name and checks if it is either a letter, digit, or a valid character (- _ .). Returns true if all characters in name are valid.</t>
  </si>
  <si>
    <t>misses part of the point of the method</t>
  </si>
  <si>
    <t>missing mentioning not start with "." , and length constraint</t>
  </si>
  <si>
    <t xml:space="preserve">It takes a file system path, gets scheme components of it, which if either the file name or directory name, essentially removes the slashes and then the switch statement returns false if the scheme is the words file or jar otherwise it returns true. </t>
  </si>
  <si>
    <t>Something is off with this answer. I don't think they get the idea of the method -- they used terms like "removes the slashes", "words file or jar". Even though some of them are important key terms that should be included in the answer, I do not think this is a correct answer. Since key details are there I'd go with 3</t>
  </si>
  <si>
    <t xml:space="preserve">Tt checks if the type exists in the declared fields of CoffMachineType class. Returns true if it does; otherwise, returns false. </t>
  </si>
  <si>
    <t>Values are checked, not types</t>
  </si>
  <si>
    <t>key details are there but intent is missing
maybe it could be a 4 if we consider that CoffMachineType is enough to indicate intent</t>
  </si>
  <si>
    <t>I think this should definitely be a 2, not a 3, because the snippet isn't checking if the type exists, it's checking if there is a field _whose value_ is equal to type, which is a different operation.</t>
  </si>
  <si>
    <t>In the str, it starts at position startPos and looks until the next x characters to see if it matches with the searchStr. x here is the length of searchStr. If regionMatches is set to true, then it ignores the case while comparing..</t>
  </si>
  <si>
    <t>I feel key details are missing (it returns the index of the first occurrence, and overall intent)</t>
  </si>
  <si>
    <t>"it starts with startPos" -- this implies it is not returning the index of the first matching occurrence. Since both startPos and case sensitivity logic are there, I think the answer is strong. I would go with 4 since the wording is kind of not exactly describing the intent.</t>
  </si>
  <si>
    <t>Visits all the files in directly then deletes them then finally deletes directory and recursively does this until all files and directories are deleted within the given input path.</t>
  </si>
  <si>
    <t>correct-ish, but phrasing is unnecessarily ambiguous</t>
  </si>
  <si>
    <t>missing saying deletes the root itself</t>
  </si>
  <si>
    <t>A little unsure of what this does but maybe counts the length of certain valid characters.</t>
  </si>
  <si>
    <t>wrong</t>
  </si>
  <si>
    <t>It calculates the determinant using the formula (b^2 - 4ac) and then takes the square root of it. Then it calculates the inverse of A using formula (1/2)*(1/a). Then it calculates variables r1 and r2 using b, square root of determinant and inverse of A. In the if statement, it checks if r1 is bigger than r2 and swaps them if they are. In the end, it returns the postive number from r1 and r2</t>
  </si>
  <si>
    <t>I do not think they undrestood the general intent intent properly; it is mainly a line by line description with some issues;</t>
  </si>
  <si>
    <t>Divides the two numbers and stores it in n. If x is not zero, then it takes tangent of n if x is positive; else, it tangent of n and adds pi to the result if y is 0 or more and subtracts pi of y is negative. If x is 0, then it returns x+half of pi of y is postive and x - half of pi if y is negative. If x is 0 and y is 0, then it just returns x+y which is 0.</t>
  </si>
  <si>
    <t xml:space="preserve">line-by-line description without undrestanding of semantics </t>
  </si>
  <si>
    <t>student240104347</t>
  </si>
  <si>
    <t>It checks whether a given string 'name' is a valid project name based on a few parameters. The parameters include not null, proper length, not starting with a dot and not including some invalid character defined in VALID_NAME_SET. It return false if name violates any of those parameters and true otherwise.</t>
  </si>
  <si>
    <t>a few things are vague, but it is okay</t>
  </si>
  <si>
    <t xml:space="preserve">I am not that familiar with URI, but it seems to check if a given URI is a file system path or file or jar (I am not familiar with what jar is). Code returns false if the URI is any of the above and true otherwise. </t>
  </si>
  <si>
    <t>vague intent because of lack of background apparently; rather they provide a valid explanation</t>
  </si>
  <si>
    <t>It checks if a given type is defined in CoffMachineType class with final and static modifiers. (I do not know what CoffMachineType class actually is).</t>
  </si>
  <si>
    <t>misses UNKNOWN but I think it can be a 5!</t>
  </si>
  <si>
    <t>I can be convinced to go to 3 on this one, but not higher. This summary confuses fields and their values: the check is whether there exists _any_ field with the same value as the input type, which this summary is not conveying.</t>
  </si>
  <si>
    <t>I initially got the impression that they were referring to a value stored in a variable of that type, but after reading it again, I agree it should be a 2 or 3. I think 3 is more appropriate.</t>
  </si>
  <si>
    <t xml:space="preserve">It looks for the first occurrence of searchStr in str. Returns the index where it begins if found, INDEX_NOT_FOUND otherwise. It return the starting position if searchStr is an empty string. </t>
  </si>
  <si>
    <t>missing saying case insensitive and nothing mention about startPos</t>
  </si>
  <si>
    <t>missed case-insensitive and the startPose</t>
  </si>
  <si>
    <t>It recursively deletes a directory or file.</t>
  </si>
  <si>
    <t>missing recursive deletion of files and directories inside a directory</t>
  </si>
  <si>
    <t>misundrestood the intentl; some elements seem to be correct; I might be okay with 1 as well</t>
  </si>
  <si>
    <t>I am open to hear why this should be a 2 rather than a 3</t>
  </si>
  <si>
    <t>Actually, I think I was wrong about missing the intent (I thought they mean only deleting the input file/dir and not it the subs); So 3 would be correct here</t>
  </si>
  <si>
    <t xml:space="preserve">It seems to cover the length of a utf16 encoding format to the length of utf8 format. </t>
  </si>
  <si>
    <t>idea is there, but not saying what will be returned</t>
  </si>
  <si>
    <t>completely wrong</t>
  </si>
  <si>
    <t>okay with 2</t>
  </si>
  <si>
    <t>I do not think they got the idea; I do not undrestand what does it mean by "cover"; Not a 4 for me at all; I am okay with a 2</t>
  </si>
  <si>
    <t xml:space="preserve">It returns the lowest positive result of applying quadratic formula, NaN if there are no positive results. </t>
  </si>
  <si>
    <t>a bit vague: "of applying"</t>
  </si>
  <si>
    <t>I think 5 is fine: this person recognized the quadratic formula and he correctly describes the function returns the "lowest positive result". Using "applying" is fine. What's wrong with it?</t>
  </si>
  <si>
    <t>I had a problem with wording; but I am okay with a 5 as well</t>
  </si>
  <si>
    <t>I think it calculates atan(y/x) value but also seems to incorporate checks for some properties of atan. I forgot much about atan.</t>
  </si>
  <si>
    <t>it can be a 5 if we ignore the fact that the "quadrant-correct" is missing. I wish we had 4.5</t>
  </si>
  <si>
    <t>okay with a 5</t>
  </si>
  <si>
    <t>student009256091</t>
  </si>
  <si>
    <t>determines if a name is a valid project name by iterating through the string and checking each character. if any of the characters violate the conditions, return false. Otherwise, return true</t>
  </si>
  <si>
    <t>summary missing descriptions of the contrainsts</t>
  </si>
  <si>
    <t>misses mentioning the violations</t>
  </si>
  <si>
    <t>if the provided url is a file system path or there is no uri scheme, return false
if the uri scheme is a file or jar, return false.
otherwise, any other uri scheme will yield true</t>
  </si>
  <si>
    <t>does not say anything about remote</t>
  </si>
  <si>
    <t>if the input is an unsupported machine type, return false
-&gt; search all the fields of the coffee machine type, skip fields with errors. 
-&gt; if there exists a field that meets all three conditions, return true. 
1) isn't synthetic 
2) the modifiers are final and static
3) short == type
otherwise return false</t>
  </si>
  <si>
    <t>misses the general intent; a good! Line by line description</t>
  </si>
  <si>
    <t>does error checking (if string or susbstring is null, startPosition is invalid: return index not found)
if substring is an empty string, return startPos. 
Otherwise search the string and return the index location if the substring is in the string, otherwise return INDEX_NOT_FOUND, which is -1</t>
  </si>
  <si>
    <t>line-by-line, doesn't mention ignoring case</t>
  </si>
  <si>
    <t>everything is fine, but there is no case-sensitivity (as per grading rules)</t>
  </si>
  <si>
    <t>if the input path and file exists, the program will delete the file and delete other remaining files in the same directory (if there are no errors).</t>
  </si>
  <si>
    <t>No mention of directories at all, nor that the deletion is recursive</t>
  </si>
  <si>
    <t>missing file deletion</t>
  </si>
  <si>
    <t>would settle on 3 here, but I don't think this is a 4 (because it misses two important things, not just one)</t>
  </si>
  <si>
    <t xml:space="preserve">for all the letters in the sequence that are  &lt; 0x800 in hex, increment utf8Length by itself and (0x7f - c) and divide by 2^31. When we reach the character that is &gt;= 0x800, increment utf8 by the encodedLength and break the loop.
If utf8Length &lt; utf16Length, return an error and the original length of utf8Length before truncating/shifting right. 
Otherwise, return utf8Length. </t>
  </si>
  <si>
    <t>describes line by line</t>
  </si>
  <si>
    <t>it's accurate, so this should've been a 3</t>
  </si>
  <si>
    <t>last part of the answer has the idea to some extent, so i'm okay with 3</t>
  </si>
  <si>
    <t>Does a bunch of float math. If the float arithmetic doesn't yield a float number, we return Float.Nan, otherwise we swap r1 and r2 and return the variable that's positive.</t>
  </si>
  <si>
    <t>some elements are correct!</t>
  </si>
  <si>
    <t xml:space="preserve">To give a 2, there should be "partial understanding". In this answer, "does a bunch of float math" does not reflect that to me.  "Swapping" and "Float.Nan" are not important aspects IMO.  </t>
  </si>
  <si>
    <t>I think it is a 2 since some elements are correct; but if you insist; I am fine with 1</t>
  </si>
  <si>
    <t>If n isn't equal to itself, if y == x, n= 1f otherwise n = -1f. Then do some other checks for atanUnchecked and return x + Half_Pi or x - Half-Pi, depending on whether y is positive or negative.
To be honest, I'm confused. The conditions don't make sense (to me). Isn't (n != n) and (n - n != n - n) always false? what is going on. it's like writing if (false), unless I'm totally lost about float arithmetic.</t>
  </si>
  <si>
    <t>misses the general intent; a bad line by line description</t>
  </si>
  <si>
    <t>Not sure which parts are correct in this answer. But ok with 2</t>
  </si>
  <si>
    <t>we decided to give 2 if some elements about the code is correct</t>
  </si>
  <si>
    <t>WMstudent294414059</t>
  </si>
  <si>
    <t>checks if the inputted string fits a set of rules that determines a valid project name and returns a corresponding boolean</t>
  </si>
  <si>
    <t>It checks and returns a boolean for whether a URI input is local to the system (false) or remote (true) by checking for existing file system paths and the use of file or jar</t>
  </si>
  <si>
    <t>The wording is vague -- "use of file or jar"?</t>
  </si>
  <si>
    <t>ok with 4, agree wording is unnecessarily vague</t>
  </si>
  <si>
    <t>It returns true or false for whether a short represents a defined machine type</t>
  </si>
  <si>
    <t>missing saying the field checks</t>
  </si>
  <si>
    <t>It checks for the starting index where CharSequence str matches with CharSequence searchStr ignoring case, and only starts searching for this starting index from the startPos input</t>
  </si>
  <si>
    <t>although a bit vague</t>
  </si>
  <si>
    <t>It deletes all the Files from a passed in root including directories and files within it. If it can do so successfully with a valid input it then returns true.</t>
  </si>
  <si>
    <t>missing mentioning recursive nature and deletes root itself</t>
  </si>
  <si>
    <t>a bit vague regarding the child dirs; misses deletion of the dir itself</t>
  </si>
  <si>
    <t>It checks for whether a Charsequence can be represented successfully in both utf8 and utf16 and returns it encoded in utf8</t>
  </si>
  <si>
    <t>did not mention returning the utf-8 length</t>
  </si>
  <si>
    <t>misundrestood the general intent; partially correct that something is being returned related to utf8 encoding in vague explanations</t>
  </si>
  <si>
    <t>1 is fine since all of it seems to be incorrect</t>
  </si>
  <si>
    <t>Finds the lowest positive root using the quadratic formula</t>
  </si>
  <si>
    <t>it returns atan adjusted for un-standardized x and y floats</t>
  </si>
  <si>
    <t>no units, vague, but on the right track about FP ops</t>
  </si>
  <si>
    <t>not sure if this person is really understanding the method. I feel it is missing a clearer answer and I don't know if the "un-standardized" part is correct</t>
  </si>
  <si>
    <t>student963260606</t>
  </si>
  <si>
    <t>Takes a string and returns true if the string is a valid project name, or false otherwise. 
A valid project name does not start with a period, is between 1 and MAX_NAME_LENGTH characters, and contains only characters that are letters, digits, or within the VALID_NAME_SET.</t>
  </si>
  <si>
    <t>Takes a URI and returns false if the URI is a file system path, if it does not have a scheme, or if the scheme is 'file' or 'jar'. Otherwise returns true.</t>
  </si>
  <si>
    <t>misses the general intent about "remoteness". I am also okay with a 4 since described other things well! But we decided on at most 3 for missing the intent</t>
  </si>
  <si>
    <t xml:space="preserve">Takes a short 'type' and checks to see if the CoffMachineType class has any final static fields that return equivalent values when coerced to a short. If an equivalent field is found the function returns true, otherwise it returns false. </t>
  </si>
  <si>
    <t>The check against UNKNOWN is also an important aspect. If it is missing, the response may receive at most 4.</t>
  </si>
  <si>
    <t>"equivalent values" is rather vague and imprecise, but it describes what the method is doing
it could be a 3 too if we want the intent to be more explicit</t>
  </si>
  <si>
    <t>Takes a CharSequence to be searched, a CharSequence to search for, and a starting position. Beginning at the starting position it returns the index of the first occurrence of the second CharSequence within the first, ignoring case. 
Returns INDEX_NOT_FOUND if no instance of the second CharSequence can be found starting from the starting position.</t>
  </si>
  <si>
    <t>The function takes a Path and returns false if the Path is invalid. Otherwise it deletes all files and directories within the Path (including the Path itself) and returns true. If it fails to delete anything it throws an IOException.</t>
  </si>
  <si>
    <t>missing recursive</t>
  </si>
  <si>
    <t>my bad</t>
  </si>
  <si>
    <t>I think we have an agreement of 3</t>
  </si>
  <si>
    <t>Returns the UTF-8 length of a UTF-16 encoded CharSequence. Throws an error if the UTF-8 length is too large for an integer.</t>
  </si>
  <si>
    <t>Takes three floats a, b, and c, and uses the quadratic equation to calculate the roots of the polynomial defined by ax^2 + bx + c. Then returns the smallest positive root of the two, or NaN if both roots are negative.</t>
  </si>
  <si>
    <t>Returns the arctangent of y / x.
If y/x is NaN it treats y/x as 1 if y == x or -1 otherwise.
If y/x is inf it treats x as exactly 0.</t>
  </si>
  <si>
    <t>missing unit: needs "in radians"</t>
  </si>
  <si>
    <t>although misses the quadrant correct part</t>
  </si>
  <si>
    <t>this misses both units and quadrants, so I think 4 is right</t>
  </si>
  <si>
    <t>agreed; although we decided not to care about "unit"</t>
  </si>
  <si>
    <t>student516959771</t>
  </si>
  <si>
    <t xml:space="preserve">The snippet is a method that ensures an input name is a valid project name. A valid project name should not be null, shouldn't start with ., be longer than 1 character but less than MAX_NAME_LENGTH characters, and only be made up of letters, numbers, or other characters found within VALID_NAME_SET. If any of these conditions are not met, the method returns false. Otherwise, the method returns true. </t>
  </si>
  <si>
    <t xml:space="preserve">It takes in a uri and checks whether it is a uri to a remote resource. </t>
  </si>
  <si>
    <t>doesn't say how</t>
  </si>
  <si>
    <t>intent is there but is missing key details</t>
  </si>
  <si>
    <t xml:space="preserve">It's taking an input of type short called type and checking against declared machine types within CoffMachineType. It returns true if there is a match and false otherwise. </t>
  </si>
  <si>
    <t>lacks mentioning fields</t>
  </si>
  <si>
    <t xml:space="preserve">This method goes through a given charSequence str and searches for CharSequence searchStr, starting from index startPos. </t>
  </si>
  <si>
    <t>If a response misses the case-insensitive behavior, assign at most 3.</t>
  </si>
  <si>
    <t xml:space="preserve">This snippet defines a function called deleteRecursively, which traverses a directory rooted at the parameter root. The code first checks if the root is not null and if the root exists in the file system. It returns false if either of those conditions isn't met. Then, it goes through the directory of the root and recursively deletes all files and sub-directories within. </t>
  </si>
  <si>
    <t>although misses the dir itself being deleted. It can be a 4 but the explanation is very clear for other parts</t>
  </si>
  <si>
    <t>I think it's just trying to find the length of a character sequence encoded in utf8. The first while loop is trying to find the number of characters less than 0x80. I am not fully sure what the second for loop does as I don't understand that utf8Length assignment operation (I don't know what 0x7f - c does)</t>
  </si>
  <si>
    <t>it could be 5 as well because the intent is there and whatever it describes about method is correct, just that it misses describing the rest of the code</t>
  </si>
  <si>
    <t>definitely a 5 IMO</t>
  </si>
  <si>
    <t>ok with 5</t>
  </si>
  <si>
    <t xml:space="preserve">It's essentially applying the quadratic formula to find the roots of an equation (using terms a, b, and c) and returning the smallest positive root out of the given solutions. </t>
  </si>
  <si>
    <t>a bit vague but can be ignored</t>
  </si>
  <si>
    <t xml:space="preserve">it seems to be calculating atan for two floats but is checking their values first (whether they are less than or greater than zero) and returning a result based on that. </t>
  </si>
  <si>
    <t>this person is not understanding the code, but it is trying to describe how it works</t>
  </si>
  <si>
    <t>I would go with a 2 since they do not seem to understand the intent. Mentioning atan is not adequate for me</t>
  </si>
  <si>
    <t>student156355987</t>
  </si>
  <si>
    <t>It takes a name as input and returns true if it follows these rules:
1. It cannot start with a "."
2. It must be at least 1 character long and at most MAX_NAME_LENGTH characters long.
3. All characters must be a letter or digit or part the VALID_NAME_SET
If any of these are violated, it returns false.</t>
  </si>
  <si>
    <t>very neat! =&gt; AI generated?</t>
  </si>
  <si>
    <t>This code snippet takes a URI as input.
If the URI exists, its scheme is not null, and its scheme is not "file" or "jar", it returns true.
Otherwise, it returns false.</t>
  </si>
  <si>
    <t>It checks if any final and static fields in the CoffMachineType class match the given type passed as an argument.
If it does, it returns true. Otherwise, it returns false. It also returns false if the type is equal to the constant IMAGE_FILE_MACHINE_UNKNOWN</t>
  </si>
  <si>
    <t>SOTT: "match the given type" is wrong - it checks whether there is a field with the same value</t>
  </si>
  <si>
    <t>willing to go to 4 if we give the student the benefit of the doubt about what they mean by "match", but I still think this is too vague for a 5</t>
  </si>
  <si>
    <t>4 is okay IMO</t>
  </si>
  <si>
    <t>This method checks if a CharSequence str contains some subsequence searchStr, starting from a given start index. If it finds it, it returns the index that the subseqeunce starts at. If it is not found, or any passed sequences are null, it returns the constant INDEX_NOT_FOUND</t>
  </si>
  <si>
    <t>It travels along a file tree starting from the argument root. It deletes every file and directory inside the root, including the root itself.</t>
  </si>
  <si>
    <t>It takes a character sequence as input and outputs its length if it were encoded in UTF-8</t>
  </si>
  <si>
    <t xml:space="preserve">It takes a quadratic function ax^2+bx+c and computes its roots. It then finds lowest positive root and returns it.
If the roots are both negative or imaginary, then it returns Float.NaN. </t>
  </si>
  <si>
    <t>It performs an inverse tangent computation on the quotient y/x and returns the angle (in radians) that points to (x, y)</t>
  </si>
  <si>
    <t>student191725291</t>
  </si>
  <si>
    <t>It checks whether a string is a proper file name by checking if it has a value greater than 0 and it doesn't exceed the max name length. It also checks if it starts with a dot and uses a for loop to make sure every character inside the string follows the rules, else it returns false. If the name is valid it returns true.</t>
  </si>
  <si>
    <t>SOTT: "value &gt; 0" doesn't make sense for a string (they mean length)</t>
  </si>
  <si>
    <t>Not a file name; but a projectName, does not mention the all the rules--missed valid_name_set</t>
  </si>
  <si>
    <t>Checks whether or not a URI is a file system path, whether it has a value that is alnum -+_, or whether it is equal to file or jar. If it meets the criteria it returns true else false.</t>
  </si>
  <si>
    <t>does not say anything about remote.</t>
  </si>
  <si>
    <t>Finds whether or not a machine type is defined, returns false if it isn't and true if it is. Uses a for loop to go through a class's list of fields to find whether they are synthetic or not then uses another pair of statements to find out whether the modifiers of this non-synthetic field are static and final. It uses a try catch to see if the field can match the type.</t>
  </si>
  <si>
    <t>Checks the str and compares it to a search str, the values we are looking for inside of the other. It takes a start position so it can begin looking from there, it returns -1 if the values of searchstr cannot be found in str.</t>
  </si>
  <si>
    <t>no case-insensitive search</t>
  </si>
  <si>
    <t>It checks to see whether or not the root given is a proper directory. Then it goes through the directory deleting files. It is supposed to be recursive which is what I assume the FileVisitResult.CONTINUE does. It throws IOExceptions because files and directories can also not exist.</t>
  </si>
  <si>
    <t>it should be a 4 because it does not say it deletes directories explicitely</t>
  </si>
  <si>
    <t>agreed! it should be a 4</t>
  </si>
  <si>
    <t>Using utf16 and utf8 standards the program uses hexadecimal values to increase the value of i until it can properly access the encoded length of a charsequence.</t>
  </si>
  <si>
    <t>vague but captures the main intent properly</t>
  </si>
  <si>
    <t>I don't think it captures the intent: "properly access the encoded length of a charsequence" is too far from being an intent. It is actually confusing. I think this person is not undersatnding the code.</t>
  </si>
  <si>
    <t>agreed; some elements are still correct</t>
  </si>
  <si>
    <t>Uses the quadratic formula and returning the lowest root.</t>
  </si>
  <si>
    <t>missed "positive"</t>
  </si>
  <si>
    <t>The function creates a float n and uses if statements that frankly make no sense and will never run because n will always equal n and n-n=0 and that will always equal 0.
It then checks the x and y values and returns an atan(n) angle depending on certain conditions.
I assume this is used to calculate the angle between float values using arc tangent. It returns 0, or an angle.</t>
  </si>
  <si>
    <t>right track, but doesn't understand FP ops</t>
  </si>
  <si>
    <t>it was imprecisions :"angle between float values"</t>
  </si>
  <si>
    <t>ok with 4</t>
  </si>
  <si>
    <t>student487551197</t>
  </si>
  <si>
    <t>Checks if a project name is valid, which includes when the name is not null, has a length greater than 0 but less than the max name length, doesn't start with a period, and each character is a letter, digit, or in the valid name set.</t>
  </si>
  <si>
    <t>I think the length requirement is the only thing they misunderstood. i'm ok with 5</t>
  </si>
  <si>
    <t>Checks if a given URI is remote by getting its scheme and checking if it is not a file or a jar file, and if it is not in the file system</t>
  </si>
  <si>
    <t>Determines if a machine type is defined by looking through the fields of the CoffMachineType class, checking if they are not synthetic and they are final and static. If one of those fields has the same type as the one given, then that machine type is defined.</t>
  </si>
  <si>
    <t>missess the intent; good explanation otherwise</t>
  </si>
  <si>
    <t>In the last sentence it seem they believe that the code is checking for the types of the fields rather than values, We have a similar situation in rows 36 and 44; I think a 3 would be more appropriate here</t>
  </si>
  <si>
    <t>Searches for a substring in a given string using CharSequence functions</t>
  </si>
  <si>
    <t>misses the case sensitivity</t>
  </si>
  <si>
    <t>Goes through all the files in a path and deletes them</t>
  </si>
  <si>
    <t>It returns the encoded UTF8 length of a given CharSequence, as some characters that can fit in one character in UTF16 cannot fit into one character in UTF8, so multiple spaces must be accommodated for them.</t>
  </si>
  <si>
    <t>Finds the lowest positive root by using the quadratic formula and comparing the 2 roots</t>
  </si>
  <si>
    <t>a bit vague intent "by using the quadratic formula"</t>
  </si>
  <si>
    <t>this is definitely a 5, I don't understant why "using the quadratic formula" is vague: the code is doing exactly that, so?</t>
  </si>
  <si>
    <t>Takes the arc tangent given x and y values, and adds or subtracts PI or HALF_PI depending on which quadrant the given point is in</t>
  </si>
  <si>
    <t>did not mention how arc tangent is computed--they should mention of arc tangent of y/x</t>
  </si>
  <si>
    <t>agree on 5(based on the latest rubric)</t>
  </si>
  <si>
    <t>student144545102</t>
  </si>
  <si>
    <t>It checks if a name is null, starts with ., it has 0 length or more than the length allowed, or if any if the character is valid. If not it returns file, if it passes all requisites it returns true</t>
  </si>
  <si>
    <t>did not properply describe the rules and length contraint is wrong</t>
  </si>
  <si>
    <t>although it has some typo</t>
  </si>
  <si>
    <t>It check if the url is in the Filesystem, if it is not, it gets its schema to check if it is a file or jar file, if not then the methos returns true, since it is a remote URl</t>
  </si>
  <si>
    <t>It checks if the short given is already defined as a machine</t>
  </si>
  <si>
    <t>ok with 2 because there's some intent there</t>
  </si>
  <si>
    <t>It detect the character in a string that should be ignore when comparing to other string similarity</t>
  </si>
  <si>
    <t>It basically deletes all files and directories inside a root path directory.</t>
  </si>
  <si>
    <t>No recursion</t>
  </si>
  <si>
    <t>missing recursive, delete root itself</t>
  </si>
  <si>
    <t>It checks if the length of an encoded sequence from utf16 feats into a utf8 formal, if it does it returns the length in utf8</t>
  </si>
  <si>
    <t>vague; error:fits; a 2.5 for me</t>
  </si>
  <si>
    <t>I don't think we should consider typos. This gets the intent right, but I'd be willing to go to 4 for vagueness</t>
  </si>
  <si>
    <t xml:space="preserve">not a typo but a semantic error IMO; I am okay with 4 </t>
  </si>
  <si>
    <t>It returns the lowest root value possible (so higher than 0), if no root is found it returns NaN.</t>
  </si>
  <si>
    <t>missed details: roots of what, using what formula?</t>
  </si>
  <si>
    <t>returns the arctangent of a number</t>
  </si>
  <si>
    <t>no units, vague, no mention of FP ops, SOTT "a number"</t>
  </si>
  <si>
    <t>what number?</t>
  </si>
  <si>
    <t>pretty bad, so ok with 1</t>
  </si>
  <si>
    <t>student993246719</t>
  </si>
  <si>
    <t>This code snippet takes in a string that represents a project name and checks to see if it is a valid project name or not. A valid project name is one that does not start with a period, is not an empty string, does not exceed the maximum name length, and contains only the following characters: digits, letter, and characters that are part of the valid name set. If no string is passed into the method, the method returns false. If the string passed into the method is a valid project name, true is returned. Otherwise false is returned.</t>
  </si>
  <si>
    <t>although some minor logical issues: using "and"</t>
  </si>
  <si>
    <t xml:space="preserve">This code snippet checks to see whether or not a URI is remote or not. It does this first by checking if the URI is a path for the file system, and if it is not, the code snippet checks the scheme component of the URI. If the scheme component is not equal to "file" or "jar", then the URI is remote and true is returned. Otherwise, false is returned. </t>
  </si>
  <si>
    <t>Missing saying "jar" and "file" check</t>
  </si>
  <si>
    <t>it does mention jar and file, though kgdesilva@wm.edu</t>
  </si>
  <si>
    <t>yeah, I read it again, agree with 5</t>
  </si>
  <si>
    <t xml:space="preserve">This code snippet checks to see if a certain type (type is the argument being passed in) is a supported and defined machine type. If the type is unsupported, false is returned. The code snippet iterates through fields of a class, and if they are not introduced by the compiler (not synthetic), the modifiers of the fields are gathered and checked. If the modifiers of a field include the final and static modifiers, then it is tested whether or not the short representation of a null object of the field is equivalent to the type passed into the original isMachineTypeDefined() method. If it is equivalent, true is returned. Otherwise, an IllegalAccessException is handled and ultimately false is returned. </t>
  </si>
  <si>
    <t>line-by-line
SOTT: "a null object..."</t>
  </si>
  <si>
    <t>I guess intent is there. This is still mostly a line-by-line description, though, and there's an error, so I don't think we should go higher than 3</t>
  </si>
  <si>
    <t>ok with 3 because the detailed description has some imprecisions, which reflect the lack of understand of the code</t>
  </si>
  <si>
    <t>This code snippet iterates through a given string str in order to search for a desired string searchStr, and the starting position of the iteration is startPos. If the string to be iterated through or the desired string to be found are null, INDEX_NOT_FOUND is returned. If necessary, the startPos is adjusted. An endLimit for the iteration is set in order to avoid an IndexOutOfBoundsException. If the startPos ends up greater than the endLimit INDEX_NOT_FOUND is returned. If the desired string to be found is an empty string, the startPos index is returned. Otherwise, the string str is iterated through and if the desired string searchStr is found within it, the index at which the desired string searchStr begins is returned. Otherwise, INDEX_NOT_FOUND is returned.</t>
  </si>
  <si>
    <t>line by line description and nothing mention about case insensitive search</t>
  </si>
  <si>
    <t>missed case-insensitive; good explanation, if we did not have the rule, I would give them a 4!</t>
  </si>
  <si>
    <t>This code snippet recursively deletes files in a directory/folder, and then deletes the folder itself. It runs recursively by walking through a file tree. If a path is not given to the deleteRecursively() method is not given or files do not exist at that path, nothing is deleted and the method returns false. Otherwise, the files and directory are deleted and after complete deletion the method returns true.</t>
  </si>
  <si>
    <t>mentioned both files and directories towards the end</t>
  </si>
  <si>
    <t>This code snippet takes in a charsequence (sequence of some characters), and returns the length of this sequence when the sequence is encoded in utf-8. The code snippet does this by using the length of the sequence when the sequence is encoded in utf-16.</t>
  </si>
  <si>
    <t>This code snippet finds the lowest positive root of some quadratic equation when the values a, b, and c are given. The values a, b, and c correspond to the quadratic equation that gives the roots:
x = (-b+-(sqr(b^2-4ac)))/(2a).
The determinant (b^2-4ac) is calculated. If the determinant is less than 0, there are no real roots, so Float.Nan is returned. Otherwise, the determinant is greater than or equal to 0, so there is at least one real root. The exact roots are then calculated as r1 and r2. If r1 is greater than r2, their values are swapped so that r1 is less than r2. Then, if one of them is positive, the value of that variable (r1 or r2) is returned [if r1 is negative and r2 is positive, r2 is returned despite being greater]. If neither are positive, then Float.Nan is returned so there is no positive root.</t>
  </si>
  <si>
    <t>I did not read the whole! Neat? =&gt; AI generated?</t>
  </si>
  <si>
    <t>This code snippet finds and returns the arc tangent of the quotient of two floats, x and y. Lines 4-7 adjust the values of n and x depending on how the division of y over x affects the values after the decimal point of n. Then, depending on whether x is positive or negative, the arc tangent of n is returned under the assumption that n is finite. If x is negative, it is also checked whether or not y is greater than or equal to zero. This check allows for the accounting of whether pi needs to be added or subtracted from the resulting arc tangent of n. If x is equal to zero (and the division comes out to undefined), the values of y are checked. If y is positive, the arc tangent returned is simply the sum of x (0) and half of pi. If y is negative, the arc tangent returned is simply the subtraction of x (0) and half of pi. If nothing has been returned thus far, the sum of x and y is returned to give the arc tangent of y/x.</t>
  </si>
  <si>
    <t>student500076089</t>
  </si>
  <si>
    <t>This code validates a project name by checking if it's non-null, doesn't start with a period, has a length between 1 and MAX_NAME_LENGTH, and contains only valid characters</t>
  </si>
  <si>
    <t>This code attempts to remove a file or directory at the given URL. It returns false if the URL is not a file system path or if the scheme is null. For "file" or "jar" schemes, it returns false, otherwise it returns true</t>
  </si>
  <si>
    <t>SOTT: "attempts to remove" is false. Purpose is wrong.</t>
  </si>
  <si>
    <t>"remove" is completely wrong</t>
  </si>
  <si>
    <t>The code checks and validates a given machine type by iteration</t>
  </si>
  <si>
    <t>checks by iteration? It is wrong</t>
  </si>
  <si>
    <t>After a second read, I think the answer implies partial understanding. ok with 2</t>
  </si>
  <si>
    <t>This code performs a case-insensitive search for a substring within a string, starting from a specified position. It returns the index where the substring is found (ignoring case), or INDEX_NOT_FOUND if the substring doesn't exist, the inputs are invalid, or the start position is out of bounds.</t>
  </si>
  <si>
    <t>This method recursively deletes a directory and all its contents. It returns false if the root path is null or doesn't exist, otherwise uses a file tree walker to visit and delete each file, then returns true upon successful completion.Retry</t>
  </si>
  <si>
    <t>my bad! ok with 5</t>
  </si>
  <si>
    <t>This code calculates the UTF-8 encoded byte length of a character sequence. It optimizes by quickly counting ASCII characters</t>
  </si>
  <si>
    <t>This code finds the smallest positive root of a quadratic equation</t>
  </si>
  <si>
    <t>This code computes the two-argument arctangent (atan2) of y and x, which returns the angle in radians between the positive x-axis and the point (x, y). It handles special cases for when values are zero or negative, normalizing angles and using atanUnchecked for the core calculation, with adjustments involving π and π/2 based on the signs and magnitudes of the inputs.</t>
  </si>
  <si>
    <t>how did they know the char π? Very neat =&gt; AI generated?</t>
  </si>
  <si>
    <t>student532875521</t>
  </si>
  <si>
    <t>Checks if the parameter name is a valid name based on a series of conditions (does not start with ".", has the correct size, etc.).</t>
  </si>
  <si>
    <t>intent is there but misses a few details. it can also be 4 as it provides more details than other cases I assigned a 3</t>
  </si>
  <si>
    <t>misses a few importand aspects</t>
  </si>
  <si>
    <t>I would go with a 3, because it is missing several important details</t>
  </si>
  <si>
    <t>I think they missed mentioning one of the key aspects "contains only letters, digits, or characters in VALID_NAME_SET"; But since they explained others abstractly, I am okay with a 3 as well</t>
  </si>
  <si>
    <t xml:space="preserve">Checks if the file based on the parameter path if remote or not. </t>
  </si>
  <si>
    <t>check what? Doesnot say at least URI</t>
  </si>
  <si>
    <t>willing to agree on 2, but I do think this has a kernel of correctness</t>
  </si>
  <si>
    <t>The answer is kinda implying what the method does, but I'd expect more details. ok with 2</t>
  </si>
  <si>
    <t xml:space="preserve">Checks if the short type given as a parameter is machine type defined based on the types CoffMachineType.getDeclaredFields() returns. </t>
  </si>
  <si>
    <t>I think is missed a few details, but otherwise it is fine</t>
  </si>
  <si>
    <t>partially idea is there, but wording is vague and no mention about the field cheking</t>
  </si>
  <si>
    <t>I'm agree to go with 5</t>
  </si>
  <si>
    <t xml:space="preserve">Checks if subsequences of characters within str are equivalent to searchStr. The method is robust because it checks a multitude of conditions to ensure this comparison is possible. </t>
  </si>
  <si>
    <t>missing key details and intent and it is too vague
The 2nd sentence tells me little about what the method is doing</t>
  </si>
  <si>
    <t>correct general intent but missess important aspects; Why discusses "The method is robust..."? It's odd =&gt; AI?</t>
  </si>
  <si>
    <t>still stand by 2</t>
  </si>
  <si>
    <t>agreed; no case insensitive, startpose ...</t>
  </si>
  <si>
    <t xml:space="preserve">This methods "walks" through a file directory provided by the parameter and deletes each file recursively. </t>
  </si>
  <si>
    <t>missing saying the deletion of root and folders.</t>
  </si>
  <si>
    <t>missess several aspects</t>
  </si>
  <si>
    <t>I am more comfortable with a 3 since they missed two aspects. But if you insist, I can be okay with a 4</t>
  </si>
  <si>
    <t>This method tries to encoded a 16 bit character sequence into an 8 bit character sequence and concatenate that 8 bit encoded version to a pre-existing 8 bit character sequence.</t>
  </si>
  <si>
    <t>misundrestood the intent; some elements can be considered correct?</t>
  </si>
  <si>
    <t>1 is fine</t>
  </si>
  <si>
    <t xml:space="preserve">This method uses the quadratic formula to return the lowest root of a quadratic function if possible via robust checks. </t>
  </si>
  <si>
    <t>"via robust checks" is vague</t>
  </si>
  <si>
    <t>missing saying the positive</t>
  </si>
  <si>
    <t xml:space="preserve">This method checks for if two numbers are the same sections of the quarters on a wheel of pi (unit circle). </t>
  </si>
  <si>
    <t>completely missing the point</t>
  </si>
  <si>
    <t>student918195873</t>
  </si>
  <si>
    <t>This code snippet determines if a name is a valid name by checking if it starts with a '.', has no characters or exceeds the character limit, and if it contains a char that is not a letter or digit and the char is not in the valid name set. If all these conditions are met, it will return true.</t>
  </si>
  <si>
    <t>This method determines whether the scheme of a uri exists or is jar. If it is not a jar, it will return true.</t>
  </si>
  <si>
    <t>missing details like file and filesystempath and no intent</t>
  </si>
  <si>
    <t>missing filesyatem path check</t>
  </si>
  <si>
    <t>This snippet iterates through each field in the class CoffMachineType, and if the filed is synthetic and its modifiers are static and constant, and the field type equals the input type, it will return true.</t>
  </si>
  <si>
    <t>misundrestood the intent (the value of the filed is important, not its type); some elements are correct; It is actually a 2.5 for me!</t>
  </si>
  <si>
    <t>the same</t>
  </si>
  <si>
    <t>This code snippet first checks if there is a valid start position for iterating through the charsequence. If there is, it looks for a sequence of matching characters in str that matches with searchStr.</t>
  </si>
  <si>
    <t>intent is missing</t>
  </si>
  <si>
    <t>correct general intent but missess all other important aspects</t>
  </si>
  <si>
    <t xml:space="preserve">It checks whether the file and root exist, and then proceeds to recursively delete all files in the root by checking if it has visited each file with a boolean, and then moving onto the next file. </t>
  </si>
  <si>
    <t>No mention of directories</t>
  </si>
  <si>
    <t>vague explanation; intent seems to be captured; missed child dir deletion and the dir itself; 2.5 would be more precise</t>
  </si>
  <si>
    <t>This code returns the length of a char sequence that is encoded in utf 8 from utf 16.</t>
  </si>
  <si>
    <t>I see some imprecisions though</t>
  </si>
  <si>
    <t xml:space="preserve">Given floats a, b, c, representing coefficients of a quadratic, the code will use the quadratic formula to find the roots of the quadratic, and determine the lowest positive root from it. </t>
  </si>
  <si>
    <t>although explained a bit badly!</t>
  </si>
  <si>
    <t>This code snippet will take y and x to be the sides of a triangle, and compute the angle based on the values. It uses atanUnchecked to find the angle, and then uses the signs of x and y to determine the quadrant which it should be in.</t>
  </si>
  <si>
    <t>no units</t>
  </si>
  <si>
    <t>I think it's vague enough that a 4 is justified, but willing to agree to 5 if you insist</t>
  </si>
  <si>
    <t>we can give a 5 since the wording can be still acceptable; and we decided not to care about the unit</t>
  </si>
  <si>
    <t>WMstudent794142157</t>
  </si>
  <si>
    <t>Checks a string to make sure it only includes Letters, digits, and specially listed characters and fits within a particular length.</t>
  </si>
  <si>
    <t>did not mention the staring with "." constraint</t>
  </si>
  <si>
    <t>it is unclear for me whether they undrestood the intent completely ("project" name is missing); at least I can say they missed ".". It is actually a 3.5 for me but I tend to give a 4 rather than a 3</t>
  </si>
  <si>
    <t>Tests if the passed in URI is local or remote by checking its scheme against the knows schemes in the switch statement.</t>
  </si>
  <si>
    <t>it should be between 3 and 4, in my opinion, but abiding by the rules of of the grading protocol I assigned a 3 because it misses the jar and file parts
the filesystem path check is not explicit, but I think this covers it "tests... if the URI is local"</t>
  </si>
  <si>
    <t>missing filesyatem path check, jar and file checks</t>
  </si>
  <si>
    <t>Iterates through programmer defined fields of the CoffMachineClass to see if any matches a certain modifier type passed into the method.</t>
  </si>
  <si>
    <t>line-by-line
SOTT: "a certain modifier"?</t>
  </si>
  <si>
    <t>incorrect description: a certain modifier type 
missing intent too</t>
  </si>
  <si>
    <t>Checks to see if a particular CharSequence can be Found in another CharSequence starting at a particular index.</t>
  </si>
  <si>
    <t>deletes an entire file directory starting at the root passed into the method directory.</t>
  </si>
  <si>
    <t>missing saying the recursive, deletes root</t>
  </si>
  <si>
    <t>general intent is there but missed the "recursively" + the child dir deletion + the dir itself deletion</t>
  </si>
  <si>
    <t>Compares the lengths of an CharSqeuence encoded in utf16 to utf8 to see compatibility.</t>
  </si>
  <si>
    <t>Not comparision of utf8 and utf16 lengths</t>
  </si>
  <si>
    <t>I agree this is a weird description. 
it shouldn't be 5.
I guess when I read it, I saw the intent and focus on that one: check compatibility.
I am okay with 2 as there are incorrect elements with an idea of the intent</t>
  </si>
  <si>
    <t>I'm not sure this is a correct answer. 2 is fine but not more than that.</t>
  </si>
  <si>
    <t>I am uncertain of the math behind it, but from the method name i'm assuming it computes the lowest positive root of the quadratic with coefficients a, b, and c.</t>
  </si>
  <si>
    <t>good guess! :)</t>
  </si>
  <si>
    <t>we decided to ignore the confessions:-))</t>
  </si>
  <si>
    <t>Computes some sort of arc tangent....</t>
  </si>
  <si>
    <t>no units, vague, no mention of FP ops</t>
  </si>
  <si>
    <t>undrestood the general intent but misses other important apects like arc tangent of "y/x" and the quadrant-correct</t>
  </si>
  <si>
    <t>it's very vague, but if you really think it should be a 3 I guess I can accept that.</t>
  </si>
  <si>
    <t>We need to discuss this later along with another similar case above</t>
  </si>
  <si>
    <t>WMstudent501042246</t>
  </si>
  <si>
    <t>This code snippet checks whether a given name is valid for a project under certain specifications, returning a boolean value accordingly.</t>
  </si>
  <si>
    <t>undrestood the general intent but misses all other important aspects</t>
  </si>
  <si>
    <t>This code snippet analyzes the scheme of a given URI/file, returning "true" if that scheme is remote, and "false" otherwise.</t>
  </si>
  <si>
    <t>This code snippet checks the fields of a given type to determine whether it is user defined or machine defined, returning a boolean value accordingly.</t>
  </si>
  <si>
    <t>This code snippet attempts to find the index at which a substring (searchStr) starts/can be found in another string (str), ignoring the case while making this comparison. If it is successful, it returns that index.</t>
  </si>
  <si>
    <t>did not mention startPos</t>
  </si>
  <si>
    <t>ok sure</t>
  </si>
  <si>
    <t>Based on the rubric, startPos is an important aspect. so I'm stick to 4</t>
  </si>
  <si>
    <t>This code snippet recursively deletes the contents of a given file path, going as deep as possible and deleting the innermost files before removing the directory/ies.</t>
  </si>
  <si>
    <t>vague and imprecise sometimes "innermost?" =&gt; the correct word is all files; "also not only the "contents" but the dir itself too; It is actually a 3.5 for me</t>
  </si>
  <si>
    <t>4 ok</t>
  </si>
  <si>
    <t>This code snippet returns the length of a UTF-16 sequence when it is encoded in UTF-8.</t>
  </si>
  <si>
    <t>misundrestood the main intent IMO</t>
  </si>
  <si>
    <t>yeah! it is correct</t>
  </si>
  <si>
    <t>This code snippet identifies and returns the lowest/smallest positive root produced by the quadratic formula for values a, b, and c passed in as parameters. If there are no positive roots, it returns NaN (not a number).</t>
  </si>
  <si>
    <t>This code snippet calculates the angle of the tangent which evaluates to y/x.</t>
  </si>
  <si>
    <t>very vague for me; mentions tangent instead of arc tangent</t>
  </si>
  <si>
    <t>agree with 2</t>
  </si>
  <si>
    <t>they mentioned tangent instead of arc tangent; the description is too incorrect/ambiguous for a 5; now that I read it again I would like to give a 2</t>
  </si>
  <si>
    <t>student974787067</t>
  </si>
  <si>
    <t>It checks a provided string for length and character requirements and returns true if it matches them. The requirements are a non-null string, can't start with '.', must but between 2 and MAX_NAME_LENGTH characters, and all characters must be a letter/digit or be in the VALID_NAME_SET</t>
  </si>
  <si>
    <t>SOTT: length can be 1</t>
  </si>
  <si>
    <t>Minor thing: min string length is 1 not 2 (could be a typo)</t>
  </si>
  <si>
    <t xml:space="preserve">It returns if a URI is remote - it is not in the filesystem is not a file or a jar archive. </t>
  </si>
  <si>
    <t>although a bit informal!</t>
  </si>
  <si>
    <t>It iterates through the public static final fields of a class to determine if a provided short value exists, and returns true if it does or false if it doesn't.</t>
  </si>
  <si>
    <t>wrong! It is not checking the existance of a value</t>
  </si>
  <si>
    <t>This is missing the intent and I agree is a bit vague. For that reason, I would give a 3. 
I wouldn't split hairs for semantics between "checking if exists" and "verifying" -- probably the student meant "verifying"</t>
  </si>
  <si>
    <t>Checking existence and verifying two different things! This is why we have two different APIs, such as "contains()" and "==/equals()". I do not think this summary is correct, and now I'm feeling too generic as well. I'd settle for 2, not more than that.</t>
  </si>
  <si>
    <t>It is almost correct; they mention that it checks whether the provided value exists, which is what the code does. It might be a bit vague, so I am open to a 4 as well</t>
  </si>
  <si>
    <t xml:space="preserve">It finds the index of first occurence of a substring inside a string after a given start point. If the search string is larger than the string, either string is null it returns INDEX_NOT_FOUND. If the search string is empty it returns the start point index. The substring is checked in a case-insensitive manner. If the string is not found it returns INDEX_NOT_FOUND. </t>
  </si>
  <si>
    <t>It recursively deletes files and subdirectories given a path. If the path does not exist it returns false.</t>
  </si>
  <si>
    <t>missing saying the root delete it self</t>
  </si>
  <si>
    <t xml:space="preserve">I don't think I penalized this case in my grading (as long as everything was correct), because it is really minor. </t>
  </si>
  <si>
    <t>Checking root is mentioned in the rubric. I'd stick to 4</t>
  </si>
  <si>
    <t>It iterates through printable characters in a character sequence and counts characters that are unable to be encoded within an 8 bit / 1 byte char and increases the return value by 1 to indicate that the character needs 8 more bits to be encoded as utf8.</t>
  </si>
  <si>
    <t>seems fine I believe</t>
  </si>
  <si>
    <t>I guess the intent is missing, so I would be ok with a 3</t>
  </si>
  <si>
    <t>It uses the quadratic formula to find the 2 real roots of an equation and returns the smallest positive root. If no root is positive, or if 2 real roots do not exist, it returns NaN.</t>
  </si>
  <si>
    <t>SOTT: if only one real root exists it will be returned (both r1 and r2 will have the same value)</t>
  </si>
  <si>
    <t>summaries with errors shouldn't get 5s, even if the errors are minor</t>
  </si>
  <si>
    <t>I may be missing something, but  if (det &lt; 0) return Float.NaN; means that if the two roots don't exist, ir returns NaN, hence the description is correct.</t>
  </si>
  <si>
    <t>My concern is that they say "if two roots do not exist, it returns NaN," which could imply that "if only one root exists it would return NaN", which is incorrect. However, this may simply be a wording issue. Considering that we have ignored some other minor issues, we could go with a 5 as well. My vote is a 5 now!</t>
  </si>
  <si>
    <t xml:space="preserve">It first checks if n is very near pos/neg infinity or near zero and returns those values directly if it is. Then it runs atan on n but shifts the result to a specific quadrant based on the sign of x and y. </t>
  </si>
  <si>
    <t>it is a 5 for me!</t>
  </si>
  <si>
    <t>since we decided not to consider units =&gt; it is a 5</t>
  </si>
  <si>
    <t>WMstudent638557193</t>
  </si>
  <si>
    <t>The method checks if a string is valid according to a few parameters related to length and characters used. It returns true if valid and false if not valid.</t>
  </si>
  <si>
    <t>missed a few important aspects; a bit vague when using the word "parameters" but clearly they mean some conditions. It is actually a 3.5 for me but I tend to give them a 4</t>
  </si>
  <si>
    <t>should be 3 for me because it misses key details</t>
  </si>
  <si>
    <t>okay with a 3</t>
  </si>
  <si>
    <t>This method takes a URI and determines from it if it is on a remote system or not.</t>
  </si>
  <si>
    <t>misses the importand aspects</t>
  </si>
  <si>
    <t>the intent is undrestood, so I think it is a 3</t>
  </si>
  <si>
    <t>The method determines if a short passed in corresponds to a supported machine type in the user's system.</t>
  </si>
  <si>
    <t>I don't think we can assume what they meant by "user's system". I agree it is vague and lacks details. I think 3 is fine here</t>
  </si>
  <si>
    <t>This method attempts to find a substring (str) in a string (searchStr) by walking through the string. If it finds the substring, it returns the index of where the substring begins in the string.</t>
  </si>
  <si>
    <t>This method takes a root file and walks down the file tree starting from it, deleting all files and directories until the bottom of the tree is reached.</t>
  </si>
  <si>
    <t>a bit imprecise + missing the dir itself being deleted. It's a 3.6 for me!</t>
  </si>
  <si>
    <t>I don't think deleting the root directory is an important detail and I didn't put emphasis on this while grading. So, I still think this is a 5.</t>
  </si>
  <si>
    <t>The method takes a string and determines its length if encoded in UTF-8.</t>
  </si>
  <si>
    <t>This method determines and returns the lowest positive root of floats a, b, and c when factored.</t>
  </si>
  <si>
    <t>The method does not factor anything! did not mention the quadratic formula =&gt; missed the intent =&gt; at most 3; I am okay with a 3</t>
  </si>
  <si>
    <t>The method returns the arc tangent of the quotient of two floats.</t>
  </si>
  <si>
    <t>missess the quadrant correct</t>
  </si>
  <si>
    <t>5 is fine</t>
  </si>
  <si>
    <t>student925329115</t>
  </si>
  <si>
    <t>This code snippet takes a string and determines whether it fits the criteria to be a valid name for a project (doesn't start with a period, a correct length, doesn't contain any non letters/digits/invalid characters)</t>
  </si>
  <si>
    <t>a bit vague but okay</t>
  </si>
  <si>
    <t>This code snippet takes a URI and returns whether or not its scheme type is a file or jar.</t>
  </si>
  <si>
    <t>misses the file system check, doesn't mention the purpose of the method</t>
  </si>
  <si>
    <t>It's not just that the filesystem path check is missing, the purpose isn't right. I think 2 is the most we should give here; this is more like a 1.5 for me.</t>
  </si>
  <si>
    <t>This snippet takes a value, compares it to a known unsupported type value, as well as a list of known fields and sees if the value matches up to these known values, returning true or false based on these results.</t>
  </si>
  <si>
    <t>missed the intent; vague explanation; it is actually a 3.5 for me</t>
  </si>
  <si>
    <t xml:space="preserve">yeah! 5 is fine although it is a bit imprecise </t>
  </si>
  <si>
    <t xml:space="preserve">This code sequence takes a string, and then a potential sequence within that string, along with the starting index. It then determines whether the sequence is found within the string from the given starting index. </t>
  </si>
  <si>
    <t>This code snippet takes a Path and deletes elements of it recursively based on various exceptions.</t>
  </si>
  <si>
    <t>SOTT: "based on various exceptions"?
"elements" is also vague, but I think it does refer to both files and directories</t>
  </si>
  <si>
    <t>missing saying root deletes it self, I assume elements = both dir and files</t>
  </si>
  <si>
    <t>This snippet takes a sequence of code, then establishes its length in utf16 and utf8. It then evaluates the sequence in order to determine its length after it has been encoded in utf8 from utf16.</t>
  </si>
  <si>
    <t>vague/overly-complicated explanation of what it's doing</t>
  </si>
  <si>
    <t>eventhough they mentioned utf8/16 and lengths the meaning of the method is wrong</t>
  </si>
  <si>
    <t>I'm ok with a 2 here, because I agree that the description is really complicated for no particular reason and doesn't exactly describe what's going on. But it does get _something_ right, so we shouldn't go lower than 2. I picked 4 because of the last phrase in the answer: that it "determine[s] the length after [the sequence] has been econded in utf8", but I think on reflection that 4 is too high. I'm also ok with 3.</t>
  </si>
  <si>
    <t>Hmm, yeah, after a second reading, I see your point. But still I do not see that the student has a clear understanding of what the method is supposed to do here. 
I'm okay to go with 2</t>
  </si>
  <si>
    <t>This code snippet takes the a, b, and c values of a quadratic equation, and then uses these values to come up with a determinant and return the lesser root of the quadratic equation.</t>
  </si>
  <si>
    <t>missed positive root</t>
  </si>
  <si>
    <t>missing the positive</t>
  </si>
  <si>
    <t>This snippet takes the two floats and then manipulates the arctangent of their ratio based on its value.</t>
  </si>
  <si>
    <t>no units, vague "manipulates"</t>
  </si>
  <si>
    <t>a bit vague but mostly correct</t>
  </si>
  <si>
    <t>I still prefer 3 here but I'm okay with 4 if you feel strongly. This is like a 3.5 for me</t>
  </si>
  <si>
    <t>After considering the "unit", I believe it is a 3</t>
  </si>
  <si>
    <t>student476319830</t>
  </si>
  <si>
    <t>it's checking if the name of the project valid. cause if its null than ut returns false. if it starts with a dot then it return false. if name is less than length one meaning 0 char or if its greater than max length num then it returns false. then it checks if each char is letter or digit and its in valid name set then returns false if not then returns true</t>
  </si>
  <si>
    <t>its goal is to check if it's remote. so first we check isFilesystemPath(url), if true then it will return false. if it is false then it will move on to the next step which is line 5. After we check if scheme is null, if true then it will return false. but if false then it will move on to the switch statement. and if it pickes either file or jar it will return false cause case file does not have a break. however if it does not land on file or jar then it will go to break or an error will come up, im not sure cause i haven't seen break in default before. so back to point if it does not land on file or jar than it will break out of the switch and return true.</t>
  </si>
  <si>
    <t>its checking of the machine type is defined. if its undefined then it returns false. however, if it is then it will run foreach loop. then it will check if field is synthetic and if it is true then it will skip to return false, if it false then it will run the next if statement. we know that modifiers is a int number. then we check if the modifiers is final and is static, if yes then it will check if it is the same as type, if yes then true but if some reason an error comes we catch it and continue to the next. foeachloop will continue until it return true or if none is true then it will return false.</t>
  </si>
  <si>
    <t xml:space="preserve">the intent is there, but the description of the logic is somewhat incorrect and it never mentions the class CoffMachineType
</t>
  </si>
  <si>
    <t>i explained earlier</t>
  </si>
  <si>
    <t>not sure what to do with this one, probably need to exclude it</t>
  </si>
  <si>
    <t>it just deletes recursivly. it delets files</t>
  </si>
  <si>
    <t>vague explanation; misses deletion of child dirs and the dir itself</t>
  </si>
  <si>
    <t>it gets a seq then checks something which im not sure what cause it checks the value of each seq by index of seq then does some math if less than 0x800 and after it finds something greater than 0x800 then breaks out of loop and compares the lenghth of the two then returns either an error or modified length which is utf8length</t>
  </si>
  <si>
    <t>not real understanding of the code, but it tries to give some explanation of the code logic</t>
  </si>
  <si>
    <t>final sentense has the gist</t>
  </si>
  <si>
    <t>it does the calculation from three float var then checks if it is less than or greater than 0. if it is true than it returns float.NaN value. if not then it does another calculation and comapres between the two values and replaces if r1 is greater than r2 then it will check if r1 or r2 is greater than 0 then returns Float.NAN. even if r1 is not greater than r2 than it will still check which which is greater than 0 and returns that value and if not than returns float.NaN</t>
  </si>
  <si>
    <t xml:space="preserve">since we had x is -1f and y is -1f. n is -1/-1 which =s 1. nect is if 1 not equal 1 which false so next it checks if 1 - 1 is not equal to 1 - 1 which is the same, false. next it checks if -1 is greater than 0, which is false. so next it checks if -1 is less than 0 which is true then it checks if -1 is greater than or equal to 0 which is false so it will return atanUnchecked(n) - PI.   </t>
  </si>
  <si>
    <t>this is an answer to the I/O question! A clear misundrestanding of the question??</t>
  </si>
  <si>
    <t>student995512205</t>
  </si>
  <si>
    <t>Takes a string value called name. If the name is empty/null, false is returned. If the name starts with a ".", false is also returned. Then the length of the name is checked. If the name's length is less than one or greater than the allowed max length defined by MAX_NAME_LENGTH, then false is returned. Otherwise, we enter a for loop that individually checks each character in the name. If any character isn't a letter/digit and isn't in the valid name set, then we return false. Finally, if we reach the end of the function, that means the name is valid, and we return true.</t>
  </si>
  <si>
    <t>the intent is towards the end</t>
  </si>
  <si>
    <t>Takes in a URI, if the URI is a file system path,then false is returned if not a string, scheme, is assigned to the scheme of the uri. If this scheme is null, false is returned. If not we move to a switch statement. If the scheme is either "file" or "jar" false is returned. If the scheme is anything other than those two, we return true.</t>
  </si>
  <si>
    <t>missed the intent; a good line by line description though</t>
  </si>
  <si>
    <t>Accepts are a short type value. If that value is an unsupported machine type, then false is returned. If not, it loops through field type values in a class with declared fields. If the field isn't a synthetic type, it assigns the int named modifiers to the field's modifier values using the getModifiers call. If the modifier's value includes a static or final value, it tries to get a short value from the field. If the short value is equal to the value of the accepted short value in the initalizing of the function true is return. If an error occurs, it is caught, and false is then returned.</t>
  </si>
  <si>
    <t>line by line description. I do not see the idea of checking machine type clearly</t>
  </si>
  <si>
    <t>Takes in 3 values and returns an integer value. The three values are two CharSequence's and one int named the startPos. If either charSequence is null, then INDEX_NOT_FOUND, which is likely -1, is returned. If not, we continue with the rest of the function. If the startPos was set to a value less than 0, it is adjusted to be 0. An integer value is then assigned to the length of the char sequence, searchStr, and an integer value is assigned to the charSequence str's length minus the searchStr's length + 1; these values are searchStrLen and endLimit, respectively. If the starting position is less then the endLimit then -1 is returned. If not we continue with the function. If searchStr's length is equal to 0 we return the starting position. If not we enter a for loop and loop from the starting position to the end limit. If the region from str matches the region from the searchStr then the position of the matching case is returned, if not then -1 is retruned.</t>
  </si>
  <si>
    <t>line-by-line, not a summary. Misses the most important fact (case insensitive search)</t>
  </si>
  <si>
    <t>Last sentense has the method idea. missing case-insensitive behavior.</t>
  </si>
  <si>
    <t>Unsure to what it does exactly. I know it takes in a specific path to a file and if that path is null or no file exists then false is returned.</t>
  </si>
  <si>
    <t>Didn't give a 2 because this is worse than some of the other ones that I did give a 2 to, even though it says one true but unimportant thing.</t>
  </si>
  <si>
    <t>ok with 2, but this is more like a 1.5 for me. The "correct" elements are really simple</t>
  </si>
  <si>
    <t>same</t>
  </si>
  <si>
    <t>Takes in a sequence of char values. Assignes the utf16length and utf8Length variables to the length of the sequence. Loops it char sequence, incrementing the value i until the max length of the sequence is reached or the hex code for that char in the sequence is greater than 0x80. Then if i isn't greater or equal to the utf16Length is continues looping the sequence from where the previous loop stopped. Unsure what occurs from this point on regarding the &gt;&gt;&gt; 31.</t>
  </si>
  <si>
    <t>line by line description. Missing the main message from the answer</t>
  </si>
  <si>
    <t>some elements are correct!; a vague line by line description</t>
  </si>
  <si>
    <t>Takes 3 float values: a,b,c. Using the expression b * b -4 * a * c to get another value named det. If det is less than 0, then Float.NaN(unsure what this return value is exactly) is returned. If not, then the sqrt of det is calculated along with a value named invA, which finds 1 / (2*a). Two expressions are then calculated, r1 and r2, using the sqrt and invA values from earlier. If r1 is greater than r2 the values of r1 and r2 are switched. Finally, if r1 is greater than r2, then r1 is returned; if r2 is greater then r1 is returned; if they're both the same float.NaN is returned.</t>
  </si>
  <si>
    <t>line-by-line
SOTT: "if they're both the same float.NaN is returned" isn't true unless both are zero (which I guess is possible...)</t>
  </si>
  <si>
    <t>Takes in two floating point variables: y and x and returns one. Assigning variable n to the result of y / x. If n is !n, n is assigned to 1f if y == x or -1f is y and x aren't equal. This deals with the case of x being zero has division by zero would be impossible. Else, if n-n != n-n then x becomes 0f. If x is greater than 0 then atanUnchecked(x) is returned if x is less than 0 then a if statement checks if y is greater than or equal to 0, if so then atanUnchecked(n) + PI is returned. If y was less than 0 then atanUnchecked(n) - PI is returned.</t>
  </si>
  <si>
    <t>missed the intent completely. Just a good line by line description without undrestanding the semantics of different parts of code</t>
  </si>
  <si>
    <t>it's like a 2.5 to me. I'm ok with 2</t>
  </si>
  <si>
    <t>student901372626</t>
  </si>
  <si>
    <t>The method will check if a name is valid by checking that is not null; if it starts with "."; if the name's length is less than 1 or is longer than the maximum length; if the name contains a character that is neither a letter or digit and it does not contain an valid name set. It will return true if it does validate and false otherwise.</t>
  </si>
  <si>
    <t>confusing wording because it switches between positive ("not null") and negative ("less than 1") without saying so, but otherwise correct</t>
  </si>
  <si>
    <t>I think this isn't good enough to be a 5 and stand by my claim it should be a 4.</t>
  </si>
  <si>
    <t>4 is more fair, agreed</t>
  </si>
  <si>
    <t>This code will check if the URI is from a remote machine, and checking if the uri is neither a file nor jar type of file by gettin the alphanumerical representation of the URI.. The function will return true  if the URI is remote, and false otherwise.</t>
  </si>
  <si>
    <t>the filesystem path check is not explicit, but I think this covers it "if the uri is neither a file nor jar type of file" (see the last part)</t>
  </si>
  <si>
    <t>It checks if the parameter used is equal to the constant IMAGE_FILE_MACHINE_UNKNOWN, if the case returns false. Then it will iterate through the final short fields of the CoffMachineType and will check if it is not synthetic, if the case iterate through the next value. If any modifiers in the field are equal to the paramter selected it will return true.</t>
  </si>
  <si>
    <t>misundrestood the intent; line by line description; the value of the fields are checked not their modifiers; some elements are correct; it is actually 2.5 for me!</t>
  </si>
  <si>
    <t>agree on 2</t>
  </si>
  <si>
    <t xml:space="preserve">it is wrong, it does not check for modifiers but for values; </t>
  </si>
  <si>
    <t>The code will take three parameters: the string, the string searched and the starting position. It will return the position of the string matched in bits of the searched string.</t>
  </si>
  <si>
    <t>vague explanation of the main functionality; some important aspects are missing. It is a 2.5 for me as well but prefer to round it to 3</t>
  </si>
  <si>
    <t xml:space="preserve">This function will take a path root of a file as a paramater, if not will return false. Then will walk a file tree and iterate through all the files and directories if an exceprion is thrown it will delete the file or directory. </t>
  </si>
  <si>
    <t>"walk a file tree" is correct, but the "if an exception is thrown" part makes the summary quite wrong</t>
  </si>
  <si>
    <t>missed the incorrect part</t>
  </si>
  <si>
    <t>This code will take a sequence and return the 8 bits length of the sequence. It will iterate of every character on the sequence, by adding them.</t>
  </si>
  <si>
    <t>"8 bits length" != length when encoded in UTF-8. Very vague, line-by-line-y description, but still on the right track.</t>
  </si>
  <si>
    <t>completely wrong; cannot find actual "correct" elements</t>
  </si>
  <si>
    <t>yeah, this is pretty wrong. ok with 1</t>
  </si>
  <si>
    <t>This code will return the lowest positive root from a polynomial equation of 2nd degree. The parameters taken are elements of the equation in order of the its degree.</t>
  </si>
  <si>
    <t>vague about how (missing "via the quadratic formula" or similar)</t>
  </si>
  <si>
    <t>This method will check two float numbers and will return its tangent after validating both numbers</t>
  </si>
  <si>
    <t>vague but on the right track. No units</t>
  </si>
  <si>
    <t>ok with 1 - agree "tangent" is wrong</t>
  </si>
  <si>
    <t>WMstudent839489271</t>
  </si>
  <si>
    <t>This code returns true if the name is not null, does not start with ., has a length greater than 1 but less than the max length, and only contains letters, digits, and approved characters in the VALID_NAME_SET set. Otherwise it returns false.</t>
  </si>
  <si>
    <t>the logic is the other way around, so this person misunderstood it</t>
  </si>
  <si>
    <t>my bad, I think it is correct, good with 5</t>
  </si>
  <si>
    <t>This code checks that the URI is not a file system path or that its scheme is not null. It then checks that the scheme is not file or jar. If any of those are true it will return false. Otherwise it returns true.</t>
  </si>
  <si>
    <t>key details are there but it is missing the intent explicitely</t>
  </si>
  <si>
    <t>does not say anything about remote. But I do think it implicitly say that -- may be go with 5</t>
  </si>
  <si>
    <t>The code checks if any non final, non static field in CoffMachineType matches the parameter field that is passed in. If there is a match, it returns true, otherwise it returns false.</t>
  </si>
  <si>
    <t>incorrect details and no intent</t>
  </si>
  <si>
    <t xml:space="preserve">This code first checks that the parameters it is passed in are valid. It then checks if searchStr contains str starting at the start position and returns the position if found. </t>
  </si>
  <si>
    <t>" the first occurance " is missing. It's a 4.5 for me!</t>
  </si>
  <si>
    <t>cannot be above 3 because of the case-insensitive rule!</t>
  </si>
  <si>
    <t>This takes in a file path, checks that the file exists, then deletes the file and every directory in the file path.</t>
  </si>
  <si>
    <t>vague explanation; the dir itself is being deleted is missing; recursively is missing; 3.5 rounded to 3!</t>
  </si>
  <si>
    <t>This takes in a string and returns the length of its UTF-8 representation. The UTF-8 length is modified if the character's hex representation is greater than 0x800. Is is modified by whatever encodedLengthGeneral returns. If the UTF-8 length is shorter than the UTF-16 length it throws an error.</t>
  </si>
  <si>
    <t>It calculates the roots of a quadratic equation and returns the smallest positive root. If there are no positive roots or if the determinant is 0, then it returns not a number (NaN).</t>
  </si>
  <si>
    <t>The code first checks if Y/X is a number or not and if it isn't then sets N, which is meant to be Y/X, to 1 or -1 depending on if y equals x. The code then checks the value of X and returns either arc tangent of Y/X, arc tangent of Y/X + PI or arc tangent of Y/X - PI, depending on first if X is positive or negative, and second if Y is positive including 0 or negative. If X is exactly 0 then the code returns half of pi, with the sign matching Y. If Y is also exactly 0, the code returns 0.</t>
  </si>
  <si>
    <t>needs a more explicit mention of the intent</t>
  </si>
  <si>
    <t>mentions arc tangent of y/x</t>
  </si>
  <si>
    <t>student089211975</t>
  </si>
  <si>
    <t>determines if a given string is a valid project title; returns true if it is - if it isn't (name is null, name starts with ".", name is &lt;1 or &gt;max characters long, or name has an invalid character) returns false</t>
  </si>
  <si>
    <t>missing the VALID_NAME_SET check</t>
  </si>
  <si>
    <t>checks if a URI is remote and returns true if it is; if not (if it has no scheme or if it is a filesystem path or a jar) it returns false</t>
  </si>
  <si>
    <t>missed the file check but it think is fine</t>
  </si>
  <si>
    <t>missing saying "file" check</t>
  </si>
  <si>
    <t>I see both are kinda in agreement. Since it is missing something in the rubric, shall we agree on 4?</t>
  </si>
  <si>
    <t>checks if a machine type is defined by looking at its id (short) and comparing it to the list of all defined machine types - returns true if it is and false if not</t>
  </si>
  <si>
    <t>finds the first index where a string starting from exactly contains a given substring --&gt; not case sensitive! ("FREdereDrick" has "red" starting at index 1 and 5 but 1 is the first index), returning INDEX_NOT_FOUND (some int, usually -1) when there is no such case</t>
  </si>
  <si>
    <t>a bit vague explanation for me; misses startPos</t>
  </si>
  <si>
    <t>recursively deletes all directories and files inside a given root path (passed as an argument) and returns true if successful; returns false if root is null or if the root doesn't exist.</t>
  </si>
  <si>
    <t>missing delete root it self</t>
  </si>
  <si>
    <t>misses the fact that the dir itself being deleted</t>
  </si>
  <si>
    <t>returns the encoded UTF-8 length of a charsequence (string) by checking each character, defining different rules for characters with codes above and below 0x800.</t>
  </si>
  <si>
    <t>returns the lowest positive root of a quadratic equation</t>
  </si>
  <si>
    <t>returns the arctangent of a ratio (y/x); if y and x are 0 return x + y (= 0)</t>
  </si>
  <si>
    <t>no units, doesn't understand FP ops</t>
  </si>
  <si>
    <t>missing intent I think</t>
  </si>
  <si>
    <t>student144717149</t>
  </si>
  <si>
    <t>It takes a project name and determines if it is valid or invalid -- specifically, if the name is null, starts with ., is too short or too long, or contains a non-alphanumeric or underscore character, it is rejected, otherwise accepted.</t>
  </si>
  <si>
    <t>although a bit imprecise about the valid set</t>
  </si>
  <si>
    <t>I think a 4 would be more fair considering other rows</t>
  </si>
  <si>
    <t>Given a URI, it detects if the URI is a filesystem path (both by calling a function and by checking if the scheme is file or jar), returning false if it's a filesystem path and true otherwise.</t>
  </si>
  <si>
    <t>Given a machine type, it looks through the fields on CoffMachineType and tries to find if any of them are not synthetic, final, static, and have a short value equal to that type. Essentially, it is looking to see if the given type is defined on CoffMachineType</t>
  </si>
  <si>
    <t>ok with 5, I think I was applying the line-by-line rule too aggressively</t>
  </si>
  <si>
    <t>Given a needle str and a haystack searchStr and a start position startPos, it returns the index of the first character of the first instance of str in searchStr after startPos (case insensitive). If str is not found in searchStr after the start position, -1 is returned. If either of the string arguments are null, or the start position is further than the needle can fit, -1 is returned.</t>
  </si>
  <si>
    <t>Given a filepath, it checks that the filepath is a real file, then recursively deletes all its subdirectories and subfiles until the entire filepath is deleted. If the filepath is a real file, it returns true, otherwise false.</t>
  </si>
  <si>
    <t>a bit imprecise about the wordings "is a real file" and about the return value meaning; misses the deletion of the dir itself; I am unsure if they undrestand that a dir is being deleted not a file!</t>
  </si>
  <si>
    <t>ok with 3 actually because there are some incorrect descriptions</t>
  </si>
  <si>
    <t>It takes a utf-16 character sequence and calculates how long it would be represented in utf-8, or throws an exception if the length is greater than an int</t>
  </si>
  <si>
    <t>I do not think they undrestood the general intent intent properly; some elements are correct</t>
  </si>
  <si>
    <t>yeah! it is a 5 and I misread it the first time</t>
  </si>
  <si>
    <t>It takes the quadratic polynomial with coefficients a, b, and c, computes the roots using the quadratic formula, sorts the roots in ascending order, and returns the first positive result and NaN if there are none.</t>
  </si>
  <si>
    <t>It calculates the angle of the vector &lt;x, y&gt; by calculating arctan of y/x. It first performs checks if y/x is NaN or Infinity, then goes through a series of if statements handling the different cases when x and y are positive, negative, or 0, properly modifying the result of atanUnchecked to be in the correct quadrant. When x is zero, atanUnchecked is skipped and the proper value is returned.</t>
  </si>
  <si>
    <t>student870854685</t>
  </si>
  <si>
    <t>It checks whether the given string is a valid project name. A valid project name isn't null; doesn't start with a period; has length between 1 and 10 inclusive; and contains only letters, numbers, or a predefined set of valid special characters.</t>
  </si>
  <si>
    <t>It receives a URI object and checks whether it's remote (not local to the computer, e.g. the filesystem). A null, file, or jar scheme leads to the URI being classified as not remote.</t>
  </si>
  <si>
    <t>It takes in a short and compares it with a list of shorts in CoffMachineType. If they are are all final and static and the parameter short matches any of them, then the method returns true, otherwise it returns false.</t>
  </si>
  <si>
    <t>misses "fields" but everythign else is okay</t>
  </si>
  <si>
    <t>misses mentioning the main intent + some logical issues like "if all are final and static". "matches any of them" is vague for me too.</t>
  </si>
  <si>
    <t>I don't think the description is incorrect, it is correct... maybe a bit vague and the intention needs to be more explicit.
I would settle on a 3</t>
  </si>
  <si>
    <t>I think a 3 will be fair</t>
  </si>
  <si>
    <t>The function takes a string, a search string, and the start index, and returns the index of the first occurrence of the search string in the whole string. It has error-checking functionality such as if either string is null, if the start index is less than 0 or greater than the maximum possible (depending on the string and search string length), or if the search string is empty.</t>
  </si>
  <si>
    <t>kind of line by line description. missing saying case insensitive and nothing mention about startPos</t>
  </si>
  <si>
    <t>First, it takes a root path and checks if it's null or the file/directory doesn't exist, returning false for both. Otherwise, it traverses the file tree of the given path, deleting the deepest files first, then deleting the directories that contained them after.</t>
  </si>
  <si>
    <t>Not clear that root is also deleted</t>
  </si>
  <si>
    <t>misses the fact that the dir itself being deleted. A bit vague explanation</t>
  </si>
  <si>
    <t>It takes a character sequence and returns the utf 8 length, ensuring that it isn't too large, but I'm not exactly sure.</t>
  </si>
  <si>
    <t>it does seem like they are just guessing based on the names since they did not mention the utf8 representation of the input sequence; although some elements explained are correct</t>
  </si>
  <si>
    <t>I gave benefit of the doubt but reading it again I agree 2 is right, this is a wild guess</t>
  </si>
  <si>
    <t>It takes a, b, and c as specified by the quadratic equation ax^2 + bx + c, and finds the smallest positive root using the quadratic formula: (-b +- sqrt(b^2 - 4ac))/(2a).</t>
  </si>
  <si>
    <t>It returns the arc tangent of y/x, depending on the signs of y and x.</t>
  </si>
  <si>
    <t>no units, no FP ops discussion, nothing about quadrants</t>
  </si>
  <si>
    <t>I'll accept 4 but this is too vague for 5 IMO</t>
  </si>
  <si>
    <t>agree with 4</t>
  </si>
  <si>
    <t>student575073547</t>
  </si>
  <si>
    <t>This code snippet will make sure the string parameter being passed into the method will match the requirements necessary for a project name by returning false for any condition that is not favorable, such as the starting character, length of the name, or i there are any invalid characters in the name</t>
  </si>
  <si>
    <t>it's like a 4.5 to me, but I think this is too vague for a 5. If you really think it's a 5 fine, I'll accept it, but I think 4 is better.</t>
  </si>
  <si>
    <t>4 is better (it is too vague)</t>
  </si>
  <si>
    <t>This code snippet will run the method isFilesystemPath(uri) and will return false if the method call returns true, if not then the code will isolate the scheme of the URI and then return false if the scheme is null, file, or jar. Finally if the code is still running then it will return true</t>
  </si>
  <si>
    <t>misses the intent; a fairly good line by line undrestanding</t>
  </si>
  <si>
    <t>No clue</t>
  </si>
  <si>
    <t>This code snippet basically will try to find the index where the case of the word is ignored or the index at which the case changes</t>
  </si>
  <si>
    <t>guesses based on the names only apparently!</t>
  </si>
  <si>
    <t>This code snippet will confirm that the path of the file given as a parameter exists and then it will invoke the function walkFileTree which starts at a f.le path in the first parameter then visits all the files and directories in said file path. After it visits a file or directory that branches from the original path it will recursively delete all the files and directories until nothing remains</t>
  </si>
  <si>
    <t>does not explicitly mention the root delete</t>
  </si>
  <si>
    <t>ok w/ 4</t>
  </si>
  <si>
    <t>The code will assign utf16Length and utf8Length to the length of the sequence parameter. It will initialize a variable i, and then run an incremental while loop that stops if i reaches the length of the utf16Length variable or if the character at the index i in the sequence is equal to 0x80. I do not understand what happens after that</t>
  </si>
  <si>
    <t>This code snippet will perform the quadratic formula and find the lowest positive root of the quadratic</t>
  </si>
  <si>
    <t>This method finds the radians of the angle between two lines by doing the arctangent of those two lines but the range for this method is -2pi to 2 pi instead of the atan's usual range of pi to -pi</t>
  </si>
  <si>
    <t>which two lines?</t>
  </si>
  <si>
    <t>ok w/ 4, agree that "two lines" is vague. I accepted this because I know how atan2 usually works, I think.</t>
  </si>
  <si>
    <t>student992610673</t>
  </si>
  <si>
    <t>This code snippet determines whether or not the name parameter is a valid project name. A valid project name has the following requirements:
-name is not null
-name does not start with a "."
-name has length greater than 0 and less than MAX_NAME_LENGTH
-all of the characters in name are alphanumeric or in the VALID_NAME_SET</t>
  </si>
  <si>
    <t>This method gets the scheme of the inputted URI, and returns false if the scheme is null or "jar," or if the scheme is a File path.</t>
  </si>
  <si>
    <t>the main intent, "remote," is missing</t>
  </si>
  <si>
    <t>This code snippet will return false always. It attempts to get a variable from null, which is not possible.</t>
  </si>
  <si>
    <t>This method is a case insensitive version of the indexOf method, which returns the index of a substring within a larger string. It returns -1 if either the string or substring is null, or if the startPos parameter + the length of the substring is greater than the length of the larger string, or if there is no match found.</t>
  </si>
  <si>
    <t>It misses mentioning "the first occurance". Unsure if they undrestood the goal of startPos</t>
  </si>
  <si>
    <t>5 is okay</t>
  </si>
  <si>
    <t>This method deletes all files and sub-directories from a given filepath root. This method also deletes the root file at the end of traversal. If the root is null or not a valid path, this method returns false; otherwise, it returns true.</t>
  </si>
  <si>
    <t>I think "deletes all files and sub-directories from a given filepath" implicitly says recursive. I'm ok to go with 3</t>
  </si>
  <si>
    <t>This method determines the encoded length of a sequence parameter. That is, unfortunately, the extent of my knowledge.</t>
  </si>
  <si>
    <t>not much substante in the intent and it misses utf8</t>
  </si>
  <si>
    <t>ok w/ 3</t>
  </si>
  <si>
    <t>This code snipped applies the quadratic formula of a binomial (given A, B, and C as parameters) and will return the lowest positive root, if one exists. If the determinant (b^2 - 4ac) is negative, it means there are no real roots and the method returns NaN. Additionally, if there are no positive roots, the method returns NaN.</t>
  </si>
  <si>
    <t>This method determines the angle (in radians) given the x and y components of a vector2. The degrees must correspond to the quadrant the vector2 is pointing towards, and so the method checks which quadrant is vector2 is point towards with a series of conditional statements. If x and y are both zero, the method returns 0 + 0, which is 0.</t>
  </si>
  <si>
    <t>a bit vague for me</t>
  </si>
  <si>
    <t>student136459685</t>
  </si>
  <si>
    <t>It takes in a name and returns false if it is invalid (if it doesn't follow certain rules), otherwise returns true</t>
  </si>
  <si>
    <t>Checks if the scheme is valid and if it is something other than a file or jar</t>
  </si>
  <si>
    <t>no mention of file system, misses purpose</t>
  </si>
  <si>
    <t>missing the filesystempath + the intent</t>
  </si>
  <si>
    <t>Sees if the desired coffee machine (the one with the type id) is part of the types of coffee machine they already have. If it is, true is returned, otherwise false.</t>
  </si>
  <si>
    <t>very vague; I tend to believe some elements are correct</t>
  </si>
  <si>
    <t>snippet checks for values not for types; the sumamry is wrong</t>
  </si>
  <si>
    <t>Iterates through str and finds if searchStr is contained inside of str. If it does, it find the index where it starts</t>
  </si>
  <si>
    <t>It traverses through files and directories and deletes them until it hits the root.</t>
  </si>
  <si>
    <t>Through what files and directories? Also isn't clear that the root is also deleted</t>
  </si>
  <si>
    <t>ok w/ 2, not sure why I was so generous</t>
  </si>
  <si>
    <t>Finds the length of a string if it is converted into UTF 8 format</t>
  </si>
  <si>
    <t>Finds the root of a quadratic and returns the lowest one if it exists. Returns Float.NaN if no roots exist</t>
  </si>
  <si>
    <t>SOTT: "lowest one" isn't really true (if only one root is negative, it is not returned but is "lowest")</t>
  </si>
  <si>
    <t>Finds the arctangent for any number, even it is outside the bounds of atan(x)</t>
  </si>
  <si>
    <t>I do not think they undrestand the intent correctly since it is about two variables not a single number; mentioning arc tangent is not adequate for me</t>
  </si>
  <si>
    <t>I agree with the reasoning; I am okay with a 4 not a 5</t>
  </si>
  <si>
    <t>WMstudent386612754</t>
  </si>
  <si>
    <t>It tests if a given name meets the specifications: The name cannot be null, it cannot start with a ., it cannot be length 0 or exceed MAX_NAME_LENGTH and all characters must either be a letter, digit, or in the VALID_NAME_SET. Returns false if the name fails any of these requirements, true otherwise.</t>
  </si>
  <si>
    <t>It checks if the given URI is for a website.</t>
  </si>
  <si>
    <t>overall purpose is on the right track but vague and not really correct</t>
  </si>
  <si>
    <t>ok w 1</t>
  </si>
  <si>
    <t>It returns true if any of the fields in the CoffMachineType class are non-synthetic, static, final, and if that field's short form of null equals the argument type. Returns false otherwise.</t>
  </si>
  <si>
    <t>line-by-line
SOTT: "form of null..."</t>
  </si>
  <si>
    <t>misses the intent; they seemingly did not undrestand checking the values of the fields; some elements are surely correct</t>
  </si>
  <si>
    <t>It returns the index of the first instance of searchStr within str. Returns INDEX_NOT_FOUND if searchStr is not in str.</t>
  </si>
  <si>
    <t>missing both case insensitive search and startPos.</t>
  </si>
  <si>
    <t>2 ok</t>
  </si>
  <si>
    <t>It deletes a directory and all interior files and directories.</t>
  </si>
  <si>
    <t>misses "recursively"; it's a 4.5 for me ! But rules are rules</t>
  </si>
  <si>
    <t>3 is fine since recursively can be seen as part of the main intent</t>
  </si>
  <si>
    <t>It takes a char sequence of utf16 chars and finds the length of that same sequence in utf8.</t>
  </si>
  <si>
    <t>Did identified the method returns a length of a char sequence but not mentioned it returns utf8 not 16.</t>
  </si>
  <si>
    <t>I don't understand kgdesilva@wm.edu 's comment, because the summary says that it returns the length of the sequence in utf8, which is exactly right. I stand by my claim this should be a 5.</t>
  </si>
  <si>
    <t>ahh this is a mistake, I'd go with 5</t>
  </si>
  <si>
    <t>Using the quadratic formula, finds the two roots of a quadratic function (given as coefficients). Returns the lowest positive root, and NaN otherwise.</t>
  </si>
  <si>
    <t>It finds the arctan of y/x and adjusts to the correct quadrant based on if x and y are positive or negative.</t>
  </si>
  <si>
    <t>5 ok</t>
  </si>
  <si>
    <t>student390655586</t>
  </si>
  <si>
    <t xml:space="preserve">check whether our project name is valid or not with bunch of conditions </t>
  </si>
  <si>
    <t>3 ok</t>
  </si>
  <si>
    <t>It Returns the scheme component of this URI and if it is one of the two listed ones, it returns false</t>
  </si>
  <si>
    <t>SOTT: "returns the scheme"
doesn't mention file system</t>
  </si>
  <si>
    <t>misundrestood the intent; some elements are correct for sure</t>
  </si>
  <si>
    <t xml:space="preserve">I feel like it is trying to handle the exception when the field type or machine type is unknown.
We have motifiers and some in-built functions uses to check for needed conditions
</t>
  </si>
  <si>
    <t>super vague, just gesturing at it</t>
  </si>
  <si>
    <t>complete misunderstanding</t>
  </si>
  <si>
    <t>1 ok</t>
  </si>
  <si>
    <t xml:space="preserve">i think it checks for string comparasion of both the strings and returns the ones that are same and its index,
i this case following all the restrictions we enter into the last for loop </t>
  </si>
  <si>
    <t>If a response misses the case-insensitive behavior, assign at most 3. Vague.</t>
  </si>
  <si>
    <t>incorrect descriptions</t>
  </si>
  <si>
    <t xml:space="preserve">The code is trying to handle all the possible exceptions when we try to delete a file in a recursive approach. </t>
  </si>
  <si>
    <t>at least they got deleting a file recursirvely</t>
  </si>
  <si>
    <t>gets ASCII values, left/right shift as per the conditions,  memory allocation in the space, checks for the restricted length</t>
  </si>
  <si>
    <t>The code logic does not make sense to me. ok with 2</t>
  </si>
  <si>
    <t>bunch of mathematical calculations
invoke methods from math
check conditions, comparasion and return based on what value you get</t>
  </si>
  <si>
    <t>not real understanding and too vague</t>
  </si>
  <si>
    <t>it is trying to find the direction / angle in a figure</t>
  </si>
  <si>
    <t>student899471171</t>
  </si>
  <si>
    <t>This boolean method checks if the name passed is not empty, starts with a period, length is greater than 1, less than the maximum name length, if no parts of the name are things other than letters or digits, and if the name contains any valid name set values.</t>
  </si>
  <si>
    <t>a bit vague, and the intent is not entirely explicit</t>
  </si>
  <si>
    <t>I'm not sure as I have no idea what a URI is or the other 2 purple lines are. From line 5, I'm assuming the scheme is whatever string comes out of its assignment. Then that scheme is checked to see if its not null, equal to "file" or "jar", an if it passes all conditions, then isRemote returns true.</t>
  </si>
  <si>
    <t>just line by line explanation</t>
  </si>
  <si>
    <t>should be a 3 per rules</t>
  </si>
  <si>
    <t>agree on 3</t>
  </si>
  <si>
    <t>I do not know.</t>
  </si>
  <si>
    <t>I'm assuming it searches for indexes and its search depends on the limit and startugn positions.</t>
  </si>
  <si>
    <t>incomplete answer</t>
  </si>
  <si>
    <t>I do not consider any elements to be correct</t>
  </si>
  <si>
    <t>I know it has to do with file handling but I honestly don't know more than the fact that its meant to delete files or thins in files recusrsively.</t>
  </si>
  <si>
    <t>misundrestood the intent IMO; some elements are correct</t>
  </si>
  <si>
    <t>I don't know. I'm assuming it checks for the length of a sequence? Judging by the name of the method, I'm also assuming its meant to be hidden?</t>
  </si>
  <si>
    <t>misunderstanding</t>
  </si>
  <si>
    <t>The main function of this snippet is to return the lowest positive root. The method takes in 3 float values (a, b, &amp; c). Line 2 creates a variable named det and sets it equal to the final total of that algebraic expression. The first if statement compares that final value to see if it is less than 0. If it is, it returns "Float.NaN". To be honest, I don't know what what is but I'm assuming it is a formatting method or similar. Line 5 through 8 create new variables. Line 5 assigns the square root of det as a float, to the variable sqrtD. From lines 6 - 8, the variables are assigned to the following algebraic expressions. Line 10 uses an if statement to compare r1 and r2. If r1 is greater, the following commands in the if statement are executed and assigned. Lines 16 &amp; 18 verify that r1 and r2 are positive numbers, and if they are, they return the numbers as they are. The last line returns Float.NaN, and again, I don't know what ".NaN" does, so I cannot elaborate further.</t>
  </si>
  <si>
    <t>missed the intent; a fair line by line description</t>
  </si>
  <si>
    <t>It take sin 2 float values and compares them through all the if and else if statements. Then based on that it returns whatever algebraic expression I solved for and at the end, it returns x + y.</t>
  </si>
  <si>
    <t>not real undersatnding, but tried to explain the code</t>
  </si>
  <si>
    <t>agreed they tried, but they got it wrong so 1 is right</t>
  </si>
  <si>
    <t>student914411502</t>
  </si>
  <si>
    <t>It checks if a string name that represents a project name is a valid name for a project. It checks if the number of characters is between 1 and the max length, if it doesn't start with '.', if it's not null, and that each character is a letter or a digit, and is in a valid name set. It returns a boolean value of true if the name is valid and false otherwise.</t>
  </si>
  <si>
    <t>although has a minor logical issue IMO: "and is in a valid name set"</t>
  </si>
  <si>
    <t>It returns true if the uri is from a remote and false if it doesn't have a scheme, is some sort of file, or is part of the file system.</t>
  </si>
  <si>
    <t>missing saying "jar" check</t>
  </si>
  <si>
    <t>I'd stick to 4, since jar is something in the rubric</t>
  </si>
  <si>
    <t xml:space="preserve">It checks if the class CoffMachineType has any final static short fields with the value equal to the argument type. If there are any that match, it returns true, else it returns false if there are no fields that match the argument type. </t>
  </si>
  <si>
    <t>overall key and the intent is somewhat implicit
it could be a 3 too</t>
  </si>
  <si>
    <t>This method takes in two strings str and searchStr and returns the first index that the string searchStr is found in str. The full searchStr must be in str and this method ignores case so it doesn't matter if the characters are upper or lowercase. If the searchStr is not in str, then it returns that the index was not found</t>
  </si>
  <si>
    <t>Shall we agree on 4, since the startPos is mentioned as an important one in the rubric?</t>
  </si>
  <si>
    <t>It takes in a root of a file or directory and recursively iterates through all files and directorys in the root, deleting the files/directory after each visit. It uses a built in method from the Files class called walkllFileTree and overrides the visitFile and postVisitDirectory methods to delete the respective file/directory after each visit.</t>
  </si>
  <si>
    <t>It takes a sequence of characters that are of utf16 and returns what the length would be if this sequence is converted to utf8.</t>
  </si>
  <si>
    <t>Using the quadratic formula, it determines the two roots of a quadratic equation given the coefficients from ax^2 +bx + c and returns the lowest root that is a positive number. If there are no positive roots or if the roots are imaginary it returns not a number</t>
  </si>
  <si>
    <t>This returns the arc tangent sum of two angles</t>
  </si>
  <si>
    <t>no units, no FP ops discussion, nothing about quadrants, SOTT</t>
  </si>
  <si>
    <t>sum of angles??</t>
  </si>
  <si>
    <t>student931185699</t>
  </si>
  <si>
    <t>Given a string, checks if the string is a "valid project name". Valid project names do not start with a period, have length greater than 1 and less than some defined max name length, and all characters are letters and digits found in some defined set of valid characters.</t>
  </si>
  <si>
    <t>although a bit vague about letters, digits and valid set</t>
  </si>
  <si>
    <t>Checks a uri string. If the uri is a filesystem path string, or if the URI points to a file or jar file, returns false. Otherwise, return true.</t>
  </si>
  <si>
    <t>vague about purpose ("checks" for what?)</t>
  </si>
  <si>
    <t>main idea of identifying that this method is checking a given URI is remote is not is missing.</t>
  </si>
  <si>
    <t>agree it's quite vague, but I think they're on the right track. I'd settle on 3?</t>
  </si>
  <si>
    <t xml:space="preserve">Given some integer, check if a MachineType is defined </t>
  </si>
  <si>
    <t>no understanding really (this person just described the signature)</t>
  </si>
  <si>
    <t>this is just repeating the method name</t>
  </si>
  <si>
    <t>Takes in 2 strings - str and searchStr, as Java CharSequence types and an integer starting position index. If str is found in searchStr (case insensitive) starting from the starting position index, returns the first index of the instance of str found in searchStr. Else, return some integer defined as INDEX_NOT_FOUND.</t>
  </si>
  <si>
    <t>Takes a file system path. Visits and deletes each file starting from the root, visiting all subdirectories</t>
  </si>
  <si>
    <t>Doesn't mention that directories are also deleted</t>
  </si>
  <si>
    <t>1 or 2</t>
  </si>
  <si>
    <t>missing recursive, delete root itself, missing directory delete</t>
  </si>
  <si>
    <t>"visiting all subdirectories" implies recursive, I think. Willing to give this a 3 but not lower.</t>
  </si>
  <si>
    <t>Gets the utf8 encoding length of a string</t>
  </si>
  <si>
    <t>gets coefficients for a quadratic equation, returns the lowest positive root of the equation if it exists</t>
  </si>
  <si>
    <t>Performs a check on the result of the division between y and x. If the division is okay, perform the arctan on the quotient of y/x. Otherwise, return other calculated values.</t>
  </si>
  <si>
    <t>vague, no units</t>
  </si>
  <si>
    <t>a bit vague; misses the quadrant-correct part. It's a 3.5 for me but prefer to round it up!</t>
  </si>
  <si>
    <t>"other calculated values" is just so vague. Ok with 4 though given that we decided not to penalize for missing units</t>
  </si>
  <si>
    <t>student058917413</t>
  </si>
  <si>
    <t>this code takes a name, and if it doesnt start with a ., the length is greater than or equal to 1 but less than 10, and contains only non-digit characters or -_ (and similar characters of teh type) in the name, then it is valid</t>
  </si>
  <si>
    <t>digit characters are allowed.</t>
  </si>
  <si>
    <t>a small misundrestanding about digits and letters</t>
  </si>
  <si>
    <t xml:space="preserve">This code snippet takes a URI and if it isn't a file system path, then it checks whether the scheme is existent(not null) and isn't a file or a jar. 
</t>
  </si>
  <si>
    <t xml:space="preserve">This function takes a short, and if the short(type) is of a supported type, and returns if we find the short (the type) that matches the type defintion we are looking for within all the accessible non synthetic fields of the COffMachineType class that are both static and final. </t>
  </si>
  <si>
    <t>vague explanation; seems they undrestood some important parts</t>
  </si>
  <si>
    <t xml:space="preserve">This code basically checks if searchString is in the given substring of str starting from startPos </t>
  </si>
  <si>
    <t>everything is almost fine, but there is no case-sensitivity (as per grading rules)</t>
  </si>
  <si>
    <t xml:space="preserve">This code snippet, we have a path and it goes through the directory tree going in to delete the files and directories. </t>
  </si>
  <si>
    <t>Not clear that it's recursive, although it's implied</t>
  </si>
  <si>
    <t>I was too generous, 2 ok</t>
  </si>
  <si>
    <t xml:space="preserve">This code snippet seems to encode the length of the character sequence based on the sub sequence after the first character greater than the ASCII value 128 (0x80). Starting from the original length of the sequence onwards from the first character greater than 128 (0x80), it will increase the length by 112 minus ASCII of the character bitwise operated by 31 (I can't tell what the specific bitwise operation is), assuming there are no ASCII characters above 0x800(around 2048). </t>
  </si>
  <si>
    <t>not intention</t>
  </si>
  <si>
    <t>line by line description and never say anything about returing the UTF-8 encoded sequence length</t>
  </si>
  <si>
    <t>This code calculates the roots of a quadratic equation, and takes the two roots, it takes teh smaller of the two and if it is positive it returns it, and if not just returns NAN.</t>
  </si>
  <si>
    <t>a small logical issue; it is not only checking the positiveness of the smalest one!</t>
  </si>
  <si>
    <t xml:space="preserve">This snippet seems to return the angular tangent of the angle between sides x and y, and seems to offset it by an angle of pi </t>
  </si>
  <si>
    <t>angular tangent is a different thing!And what is angle of pi??</t>
  </si>
  <si>
    <t>yeah no idea what I was thinking, definitely a 1</t>
  </si>
  <si>
    <t>author1</t>
  </si>
  <si>
    <t>author2</t>
  </si>
  <si>
    <t>author3</t>
  </si>
  <si>
    <t>author4</t>
  </si>
  <si>
    <t>author1' opinion</t>
  </si>
  <si>
    <t>agree with author1</t>
  </si>
  <si>
    <t>I still think it should be a 5; I think we have had similar rows for which author1 assigned a 5, even though the explanations were a bit vague. The length limitations seem to be correct IMO; I am open to discuss this. But I am okay with a 4</t>
  </si>
  <si>
    <t>agree with you, author1!
Lets go with 2</t>
  </si>
  <si>
    <t>Based on the rubric we specifically says "recursive" is an important term. I see your point (implicit way to describe it), author1. 
I'm okay to go with 3</t>
  </si>
  <si>
    <t>author2's opinion</t>
  </si>
  <si>
    <t>author1,author2</t>
  </si>
  <si>
    <t>"unstandardized" is sort of on the right track, but pretty vague. I prefer 3 here, because they don't mention units or the floating point stuff and the intent is vague. But ok with 4 if author2 feels strongly.</t>
  </si>
  <si>
    <t>I prefer 4 to 3 here because this does get the intent right: atan2 is computing an angle! Willing to do 3 though if author2ch@wm.edu feels strongly.</t>
  </si>
  <si>
    <t>"in the user's system" suggests the method is checking system configuration or hardware, which it is not doing. So I think they missed the overall intent; they also missed the details as well, I am okay with at most 3. author2 Chaparro</t>
  </si>
  <si>
    <t>I think in the rubric it say checking the fields is enough to give 5. But I agree on author2's points except "never mentions the class name" -- this is not a requirement according to the rubric. Shall we settle down to 3?</t>
  </si>
  <si>
    <t>summary is definitely wrong! Why did you give this a 5 author2ch@wm.edu ?</t>
  </si>
  <si>
    <t>author3's opinion</t>
  </si>
  <si>
    <t>author1,author3</t>
  </si>
  <si>
    <t>author2,author3</t>
  </si>
  <si>
    <t xml:space="preserve">I don't agree with author3 and I meant:
The description is not saying anything about returning the index of the first string occurrence, which is exactly what the method is doing.
I don't think we can assume that their description is implying one thing or another
</t>
  </si>
  <si>
    <t>Yeah, I agree with author3. This is correct.</t>
  </si>
  <si>
    <t>author4's opinion</t>
  </si>
  <si>
    <t>author1,author4</t>
  </si>
  <si>
    <t>author4,author3</t>
  </si>
  <si>
    <t>author2,author4</t>
  </si>
  <si>
    <t>to me, this is the intent: "Determines if a machine type is defined by looking through the fields of the CoffMachineType class"
so, I think 5 is fine
Update, based on author4's last comment: I agree that last part is incorrect, which may reflect some misunderstanding of the code. So I am ok with 3</t>
  </si>
  <si>
    <t>This is the rubric's answer: "Returns the number of length in the UTF-8-encoded form of a char sequence". The answer is almost the same. Agree on 4. Not sure what you mean by "misunderstood the main intent," author4.</t>
  </si>
  <si>
    <t>I don't understand why you'd give this a 1 author4 Arvan it looks mostly right to me</t>
  </si>
  <si>
    <t>I am fine either way, author4, make a decision... I also feel the valid set check is vague</t>
  </si>
  <si>
    <t>minor detail brought up by author4. IMO, iti s not important</t>
  </si>
  <si>
    <r>
      <t xml:space="preserve">&gt; missing saying deletes the root itself
No it doesn't: "recursively </t>
    </r>
    <r>
      <rPr>
        <b/>
        <sz val="12"/>
        <color theme="1"/>
        <rFont val="Arial"/>
        <family val="2"/>
      </rPr>
      <t>deletes a directory</t>
    </r>
    <r>
      <rPr>
        <sz val="12"/>
        <color theme="1"/>
        <rFont val="Arial"/>
        <family val="2"/>
      </rPr>
      <t xml:space="preserve"> and all its contents" (emph mine). Should be 5.</t>
    </r>
  </si>
  <si>
    <r>
      <rPr>
        <sz val="12"/>
        <color theme="1"/>
        <rFont val="Arial"/>
        <family val="2"/>
      </rPr>
      <t xml:space="preserve">I actually think this should be a 5 since we're not deducting for units. They know what they're talking about wrt atan vs atan2 - see e.g., </t>
    </r>
    <r>
      <rPr>
        <u/>
        <sz val="12"/>
        <color theme="1"/>
        <rFont val="Arial"/>
        <family val="2"/>
      </rPr>
      <t>https://stackoverflow.com/questions/283406/what-is-the-difference-between-atan-and-atan2-in-c.</t>
    </r>
    <r>
      <rPr>
        <sz val="12"/>
        <color theme="1"/>
        <rFont val="Arial"/>
        <family val="2"/>
      </rPr>
      <t xml:space="preserve"> atan takes one parameter (a ratio y/x) but only works on the range [-pi/2, pi/2]; atan2 (the function here) takes y and x separately so it has bigger range. This is one of the better summaries we've seen for this method.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</si>
</sst>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scheme val="minor"/>
    </font>
    <font>
      <b/>
      <sz val="11"/>
      <color theme="1"/>
      <name val="Times New Roman"/>
      <family val="1"/>
    </font>
    <font>
      <sz val="12"/>
      <color theme="1"/>
      <name val="Aptos Narrow"/>
    </font>
    <font>
      <b/>
      <sz val="11"/>
      <color theme="1"/>
      <name val="Calibri"/>
      <family val="2"/>
    </font>
    <font>
      <sz val="12"/>
      <color theme="1"/>
      <name val="Arial"/>
      <family val="2"/>
    </font>
    <font>
      <sz val="11"/>
      <color theme="1"/>
      <name val="Times New Roman"/>
      <family val="1"/>
    </font>
    <font>
      <sz val="11"/>
      <color theme="1"/>
      <name val="Calibri"/>
      <family val="2"/>
    </font>
    <font>
      <sz val="12"/>
      <color theme="1"/>
      <name val="Arial"/>
      <family val="2"/>
    </font>
    <font>
      <u/>
      <sz val="12"/>
      <color theme="1"/>
      <name val="Arial"/>
      <family val="2"/>
    </font>
    <font>
      <sz val="12"/>
      <color theme="1"/>
      <name val="Aptos Narrow"/>
      <scheme val="minor"/>
    </font>
    <font>
      <b/>
      <sz val="12"/>
      <color theme="1"/>
      <name val="Arial"/>
      <family val="2"/>
    </font>
  </fonts>
  <fills count="3">
    <fill>
      <patternFill patternType="none"/>
    </fill>
    <fill>
      <patternFill patternType="gray125"/>
    </fill>
    <fill>
      <patternFill patternType="solid">
        <fgColor rgb="FFCFE2F3"/>
        <bgColor rgb="FFCFE2F3"/>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2" borderId="0" xfId="0" applyFont="1" applyFill="1" applyAlignment="1">
      <alignment wrapText="1"/>
    </xf>
    <xf numFmtId="0" fontId="4" fillId="2" borderId="0" xfId="0" applyFont="1" applyFill="1"/>
    <xf numFmtId="0" fontId="5" fillId="0" borderId="0" xfId="0" applyFont="1" applyAlignment="1">
      <alignment wrapText="1"/>
    </xf>
    <xf numFmtId="0" fontId="6" fillId="0" borderId="0" xfId="0" applyFont="1" applyAlignment="1">
      <alignment wrapText="1"/>
    </xf>
    <xf numFmtId="0" fontId="7" fillId="2" borderId="0" xfId="0" applyFont="1" applyFill="1" applyAlignment="1">
      <alignment wrapText="1"/>
    </xf>
    <xf numFmtId="0" fontId="7" fillId="2" borderId="0" xfId="0" applyFont="1" applyFill="1"/>
    <xf numFmtId="0" fontId="8" fillId="2" borderId="0" xfId="0" applyFont="1" applyFill="1" applyAlignment="1">
      <alignment wrapText="1"/>
    </xf>
    <xf numFmtId="0" fontId="6" fillId="0" borderId="0" xfId="0" applyFont="1"/>
    <xf numFmtId="0" fontId="2" fillId="2" borderId="0" xfId="0" applyFont="1" applyFill="1" applyAlignment="1">
      <alignment wrapText="1"/>
    </xf>
    <xf numFmtId="0" fontId="2" fillId="2" borderId="0" xfId="0" applyFont="1" applyFill="1"/>
    <xf numFmtId="0" fontId="9" fillId="0" borderId="0" xfId="0" applyFont="1" applyAlignment="1">
      <alignment wrapText="1"/>
    </xf>
    <xf numFmtId="0" fontId="4" fillId="0" borderId="0" xfId="0" applyFont="1" applyAlignment="1">
      <alignment wrapText="1"/>
    </xf>
    <xf numFmtId="0" fontId="6" fillId="0" borderId="0" xfId="0" applyFont="1" applyAlignment="1">
      <alignment horizontal="right" wrapText="1"/>
    </xf>
    <xf numFmtId="0" fontId="10" fillId="2" borderId="0" xfId="0" applyFont="1" applyFill="1"/>
    <xf numFmtId="0" fontId="4" fillId="2" borderId="0" xfId="0" applyFont="1" applyFill="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mailto:ea442@njit.edu" TargetMode="External"/><Relationship Id="rId7" Type="http://schemas.openxmlformats.org/officeDocument/2006/relationships/hyperlink" Target="mailto:kgdesilva@wm.edu" TargetMode="External"/><Relationship Id="rId2" Type="http://schemas.openxmlformats.org/officeDocument/2006/relationships/hyperlink" Target="mailto:kgdesilva@wm.edu" TargetMode="External"/><Relationship Id="rId1" Type="http://schemas.openxmlformats.org/officeDocument/2006/relationships/hyperlink" Target="mailto:oscarch@wm.edu" TargetMode="External"/><Relationship Id="rId6" Type="http://schemas.openxmlformats.org/officeDocument/2006/relationships/hyperlink" Target="https://stackoverflow.com/questions/283406/what-is-the-difference-between-atan-and-atan2-in-c." TargetMode="External"/><Relationship Id="rId5" Type="http://schemas.openxmlformats.org/officeDocument/2006/relationships/hyperlink" Target="mailto:oscarch@wm.edu" TargetMode="External"/><Relationship Id="rId4" Type="http://schemas.openxmlformats.org/officeDocument/2006/relationships/hyperlink" Target="mailto:ojcch1@gmail.com" TargetMode="External"/><Relationship Id="rId9"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tabSelected="1" topLeftCell="C1" workbookViewId="0">
      <pane ySplit="1" topLeftCell="A2" activePane="bottomLeft" state="frozen"/>
      <selection pane="bottomLeft" activeCell="I279" sqref="I279"/>
    </sheetView>
  </sheetViews>
  <sheetFormatPr baseColWidth="10" defaultColWidth="11.1640625" defaultRowHeight="15" customHeight="1" x14ac:dyDescent="0.2"/>
  <cols>
    <col min="1" max="1" width="8.83203125" customWidth="1"/>
    <col min="2" max="2" width="22.5" customWidth="1"/>
    <col min="3" max="3" width="17.83203125" customWidth="1"/>
    <col min="4" max="4" width="35.33203125" customWidth="1"/>
    <col min="5" max="12" width="10.5" customWidth="1"/>
    <col min="13" max="13" width="12.5" customWidth="1"/>
    <col min="14" max="14" width="12.1640625" customWidth="1"/>
    <col min="15" max="15" width="10.5" customWidth="1"/>
    <col min="16" max="16" width="13.1640625" customWidth="1"/>
    <col min="17" max="26" width="10.5" customWidth="1"/>
  </cols>
  <sheetData>
    <row r="1" spans="1:17" ht="15.75" customHeight="1" x14ac:dyDescent="0.2">
      <c r="A1" s="1" t="s">
        <v>0</v>
      </c>
      <c r="B1" s="1" t="s">
        <v>1</v>
      </c>
      <c r="C1" s="1" t="s">
        <v>2</v>
      </c>
      <c r="D1" s="2"/>
      <c r="E1" s="3" t="s">
        <v>849</v>
      </c>
      <c r="F1" s="3" t="s">
        <v>3</v>
      </c>
      <c r="G1" s="1" t="s">
        <v>850</v>
      </c>
      <c r="H1" s="1" t="s">
        <v>3</v>
      </c>
      <c r="I1" s="3" t="s">
        <v>851</v>
      </c>
      <c r="J1" s="3" t="s">
        <v>3</v>
      </c>
      <c r="K1" s="1" t="s">
        <v>852</v>
      </c>
      <c r="L1" s="1" t="s">
        <v>3</v>
      </c>
      <c r="M1" s="4" t="s">
        <v>853</v>
      </c>
      <c r="N1" s="4" t="s">
        <v>858</v>
      </c>
      <c r="O1" s="4" t="s">
        <v>865</v>
      </c>
      <c r="P1" s="4" t="s">
        <v>870</v>
      </c>
      <c r="Q1" s="5" t="s">
        <v>4</v>
      </c>
    </row>
    <row r="2" spans="1:17" ht="15.75" customHeight="1" x14ac:dyDescent="0.2">
      <c r="A2" s="6" t="s">
        <v>5</v>
      </c>
      <c r="B2" s="6" t="s">
        <v>6</v>
      </c>
      <c r="C2" s="6" t="s">
        <v>871</v>
      </c>
      <c r="D2" s="2" t="s">
        <v>7</v>
      </c>
      <c r="E2" s="7">
        <v>5</v>
      </c>
      <c r="F2" s="7"/>
      <c r="G2" s="6"/>
      <c r="H2" s="6"/>
      <c r="I2" s="7"/>
      <c r="J2" s="7"/>
      <c r="K2" s="6">
        <v>5</v>
      </c>
      <c r="L2" s="6" t="s">
        <v>8</v>
      </c>
      <c r="M2" s="4" t="s">
        <v>853</v>
      </c>
      <c r="N2" s="4" t="s">
        <v>858</v>
      </c>
      <c r="O2" s="4" t="s">
        <v>865</v>
      </c>
      <c r="P2" s="4" t="s">
        <v>870</v>
      </c>
      <c r="Q2" s="5">
        <f t="shared" ref="Q2:Q3" si="0">IF((COUNT(E2)+COUNT(G2)+COUNT(I2)+COUNT(K2))=2,
   IF(MIN(E2,G2,I2,K2)=MAX(E2,G2,I2,K2),MIN(E2,G2,I2,K2),"final grade?"),
"final grade?")</f>
        <v>5</v>
      </c>
    </row>
    <row r="3" spans="1:17" ht="15.75" customHeight="1" x14ac:dyDescent="0.2">
      <c r="A3" s="6" t="s">
        <v>5</v>
      </c>
      <c r="B3" s="6" t="s">
        <v>9</v>
      </c>
      <c r="C3" s="6" t="s">
        <v>859</v>
      </c>
      <c r="D3" s="2" t="s">
        <v>10</v>
      </c>
      <c r="E3" s="7">
        <v>3</v>
      </c>
      <c r="F3" s="7" t="s">
        <v>11</v>
      </c>
      <c r="G3" s="6">
        <v>3</v>
      </c>
      <c r="H3" s="6" t="s">
        <v>12</v>
      </c>
      <c r="I3" s="7"/>
      <c r="J3" s="7"/>
      <c r="K3" s="6"/>
      <c r="L3" s="6"/>
      <c r="M3" s="4" t="s">
        <v>853</v>
      </c>
      <c r="N3" s="4" t="s">
        <v>858</v>
      </c>
      <c r="O3" s="4" t="s">
        <v>865</v>
      </c>
      <c r="P3" s="4" t="s">
        <v>870</v>
      </c>
      <c r="Q3" s="5">
        <f t="shared" si="0"/>
        <v>3</v>
      </c>
    </row>
    <row r="4" spans="1:17" ht="15.75" customHeight="1" x14ac:dyDescent="0.2">
      <c r="A4" s="6" t="s">
        <v>5</v>
      </c>
      <c r="B4" s="6" t="s">
        <v>13</v>
      </c>
      <c r="C4" s="6" t="s">
        <v>872</v>
      </c>
      <c r="D4" s="15" t="s">
        <v>14</v>
      </c>
      <c r="E4" s="7"/>
      <c r="F4" s="7"/>
      <c r="G4" s="6"/>
      <c r="H4" s="6"/>
      <c r="I4" s="16">
        <v>5</v>
      </c>
      <c r="J4" s="7"/>
      <c r="K4" s="6">
        <v>2</v>
      </c>
      <c r="L4" s="6" t="s">
        <v>15</v>
      </c>
      <c r="M4" s="4" t="s">
        <v>853</v>
      </c>
      <c r="N4" s="4" t="s">
        <v>858</v>
      </c>
      <c r="O4" s="4" t="s">
        <v>16</v>
      </c>
      <c r="P4" s="4" t="s">
        <v>17</v>
      </c>
      <c r="Q4" s="5">
        <v>2</v>
      </c>
    </row>
    <row r="5" spans="1:17" ht="15.75" customHeight="1" x14ac:dyDescent="0.2">
      <c r="A5" s="6" t="s">
        <v>5</v>
      </c>
      <c r="B5" s="6" t="s">
        <v>18</v>
      </c>
      <c r="C5" s="6" t="s">
        <v>872</v>
      </c>
      <c r="D5" s="2" t="s">
        <v>19</v>
      </c>
      <c r="E5" s="7"/>
      <c r="F5" s="7"/>
      <c r="G5" s="6"/>
      <c r="H5" s="6"/>
      <c r="I5" s="16">
        <v>2</v>
      </c>
      <c r="J5" s="7" t="s">
        <v>20</v>
      </c>
      <c r="K5" s="6">
        <v>2</v>
      </c>
      <c r="L5" s="6" t="s">
        <v>21</v>
      </c>
      <c r="M5" s="4" t="s">
        <v>853</v>
      </c>
      <c r="N5" s="4" t="s">
        <v>858</v>
      </c>
      <c r="O5" s="4" t="s">
        <v>865</v>
      </c>
      <c r="P5" s="4" t="s">
        <v>870</v>
      </c>
      <c r="Q5" s="5">
        <f>IF((COUNT(E5)+COUNT(G5)+COUNT(I5)+COUNT(K5))=2,
   IF(MIN(E5,G5,I5,K5)=MAX(E5,G5,I5,K5),MIN(E5,G5,I5,K5),"final grade?"),
"final grade?")</f>
        <v>2</v>
      </c>
    </row>
    <row r="6" spans="1:17" ht="15.75" customHeight="1" x14ac:dyDescent="0.2">
      <c r="A6" s="6" t="s">
        <v>5</v>
      </c>
      <c r="B6" s="6" t="s">
        <v>22</v>
      </c>
      <c r="C6" s="6" t="s">
        <v>873</v>
      </c>
      <c r="D6" s="2" t="s">
        <v>23</v>
      </c>
      <c r="E6" s="7"/>
      <c r="F6" s="7"/>
      <c r="G6" s="6">
        <v>2</v>
      </c>
      <c r="H6" s="6" t="s">
        <v>24</v>
      </c>
      <c r="I6" s="7"/>
      <c r="J6" s="7"/>
      <c r="K6" s="6">
        <v>4</v>
      </c>
      <c r="L6" s="6" t="s">
        <v>25</v>
      </c>
      <c r="M6" s="4" t="s">
        <v>853</v>
      </c>
      <c r="N6" s="4" t="s">
        <v>26</v>
      </c>
      <c r="O6" s="4" t="s">
        <v>865</v>
      </c>
      <c r="P6" s="4" t="s">
        <v>27</v>
      </c>
      <c r="Q6" s="5">
        <v>2</v>
      </c>
    </row>
    <row r="7" spans="1:17" ht="15.75" customHeight="1" x14ac:dyDescent="0.2">
      <c r="A7" s="6" t="s">
        <v>5</v>
      </c>
      <c r="B7" s="6" t="s">
        <v>28</v>
      </c>
      <c r="C7" s="6" t="s">
        <v>866</v>
      </c>
      <c r="D7" s="2" t="s">
        <v>29</v>
      </c>
      <c r="E7" s="7">
        <v>2</v>
      </c>
      <c r="F7" s="7" t="s">
        <v>30</v>
      </c>
      <c r="G7" s="6"/>
      <c r="H7" s="6"/>
      <c r="I7" s="16">
        <v>1</v>
      </c>
      <c r="J7" s="7" t="s">
        <v>31</v>
      </c>
      <c r="K7" s="6"/>
      <c r="L7" s="6"/>
      <c r="M7" s="4" t="s">
        <v>32</v>
      </c>
      <c r="N7" s="4" t="s">
        <v>858</v>
      </c>
      <c r="O7" s="4" t="s">
        <v>865</v>
      </c>
      <c r="P7" s="4" t="s">
        <v>870</v>
      </c>
      <c r="Q7" s="5">
        <v>1</v>
      </c>
    </row>
    <row r="8" spans="1:17" ht="15.75" customHeight="1" x14ac:dyDescent="0.2">
      <c r="A8" s="6" t="s">
        <v>5</v>
      </c>
      <c r="B8" s="6" t="s">
        <v>33</v>
      </c>
      <c r="C8" s="6" t="s">
        <v>873</v>
      </c>
      <c r="D8" s="2" t="s">
        <v>34</v>
      </c>
      <c r="E8" s="7"/>
      <c r="F8" s="7"/>
      <c r="G8" s="6">
        <v>5</v>
      </c>
      <c r="H8" s="6" t="s">
        <v>35</v>
      </c>
      <c r="I8" s="7"/>
      <c r="J8" s="7"/>
      <c r="K8" s="6">
        <v>3</v>
      </c>
      <c r="L8" s="6" t="s">
        <v>36</v>
      </c>
      <c r="M8" s="4" t="s">
        <v>853</v>
      </c>
      <c r="N8" s="4" t="s">
        <v>37</v>
      </c>
      <c r="O8" s="4" t="s">
        <v>865</v>
      </c>
      <c r="P8" s="4" t="s">
        <v>38</v>
      </c>
      <c r="Q8" s="5">
        <v>4</v>
      </c>
    </row>
    <row r="9" spans="1:17" ht="15.75" customHeight="1" x14ac:dyDescent="0.2">
      <c r="A9" s="6" t="s">
        <v>5</v>
      </c>
      <c r="B9" s="6" t="s">
        <v>39</v>
      </c>
      <c r="C9" s="6" t="s">
        <v>859</v>
      </c>
      <c r="D9" s="2" t="s">
        <v>40</v>
      </c>
      <c r="E9" s="7">
        <v>2</v>
      </c>
      <c r="F9" s="7" t="s">
        <v>41</v>
      </c>
      <c r="G9" s="6">
        <v>3</v>
      </c>
      <c r="H9" s="6" t="s">
        <v>42</v>
      </c>
      <c r="I9" s="7"/>
      <c r="J9" s="7"/>
      <c r="K9" s="6"/>
      <c r="L9" s="6"/>
      <c r="M9" s="4" t="s">
        <v>43</v>
      </c>
      <c r="N9" s="4" t="s">
        <v>44</v>
      </c>
      <c r="O9" s="4" t="s">
        <v>865</v>
      </c>
      <c r="P9" s="4" t="s">
        <v>45</v>
      </c>
      <c r="Q9" s="5">
        <v>3</v>
      </c>
    </row>
    <row r="10" spans="1:17" ht="15.75" customHeight="1" x14ac:dyDescent="0.2">
      <c r="A10" s="6" t="s">
        <v>46</v>
      </c>
      <c r="B10" s="6" t="s">
        <v>6</v>
      </c>
      <c r="C10" s="6" t="s">
        <v>871</v>
      </c>
      <c r="D10" s="2" t="s">
        <v>47</v>
      </c>
      <c r="E10" s="7">
        <v>4</v>
      </c>
      <c r="F10" s="7" t="s">
        <v>48</v>
      </c>
      <c r="G10" s="6"/>
      <c r="H10" s="6"/>
      <c r="I10" s="7"/>
      <c r="J10" s="7"/>
      <c r="K10" s="6">
        <v>3</v>
      </c>
      <c r="L10" s="6" t="s">
        <v>49</v>
      </c>
      <c r="M10" s="4" t="s">
        <v>50</v>
      </c>
      <c r="N10" s="4" t="s">
        <v>858</v>
      </c>
      <c r="O10" s="4" t="s">
        <v>865</v>
      </c>
      <c r="P10" s="4" t="s">
        <v>51</v>
      </c>
      <c r="Q10" s="5">
        <v>3</v>
      </c>
    </row>
    <row r="11" spans="1:17" ht="15.75" customHeight="1" x14ac:dyDescent="0.2">
      <c r="A11" s="6" t="s">
        <v>46</v>
      </c>
      <c r="B11" s="6" t="s">
        <v>9</v>
      </c>
      <c r="C11" s="6" t="s">
        <v>867</v>
      </c>
      <c r="D11" s="2" t="s">
        <v>52</v>
      </c>
      <c r="E11" s="7"/>
      <c r="F11" s="7"/>
      <c r="G11" s="6">
        <v>1</v>
      </c>
      <c r="H11" s="6"/>
      <c r="I11" s="16">
        <v>1</v>
      </c>
      <c r="J11" s="7" t="s">
        <v>53</v>
      </c>
      <c r="K11" s="6"/>
      <c r="L11" s="6"/>
      <c r="M11" s="4" t="s">
        <v>853</v>
      </c>
      <c r="N11" s="4" t="s">
        <v>858</v>
      </c>
      <c r="O11" s="4" t="s">
        <v>865</v>
      </c>
      <c r="P11" s="4" t="s">
        <v>870</v>
      </c>
      <c r="Q11" s="5">
        <f>IF((COUNT(E11)+COUNT(G11)+COUNT(I11)+COUNT(K11))=2,
   IF(MIN(E11,G11,I11,K11)=MAX(E11,G11,I11,K11),MIN(E11,G11,I11,K11),"final grade?"),
"final grade?")</f>
        <v>1</v>
      </c>
    </row>
    <row r="12" spans="1:17" ht="15.75" customHeight="1" x14ac:dyDescent="0.2">
      <c r="A12" s="6" t="s">
        <v>46</v>
      </c>
      <c r="B12" s="6" t="s">
        <v>13</v>
      </c>
      <c r="C12" s="6" t="s">
        <v>872</v>
      </c>
      <c r="D12" s="2" t="s">
        <v>54</v>
      </c>
      <c r="E12" s="7"/>
      <c r="F12" s="7"/>
      <c r="G12" s="6"/>
      <c r="H12" s="6"/>
      <c r="I12" s="16">
        <v>3</v>
      </c>
      <c r="J12" s="7" t="s">
        <v>55</v>
      </c>
      <c r="K12" s="6">
        <v>4</v>
      </c>
      <c r="L12" s="6" t="s">
        <v>56</v>
      </c>
      <c r="M12" s="4" t="s">
        <v>853</v>
      </c>
      <c r="N12" s="4" t="s">
        <v>858</v>
      </c>
      <c r="O12" s="4" t="s">
        <v>865</v>
      </c>
      <c r="P12" s="4" t="s">
        <v>57</v>
      </c>
      <c r="Q12" s="5">
        <v>3</v>
      </c>
    </row>
    <row r="13" spans="1:17" ht="15.75" customHeight="1" x14ac:dyDescent="0.2">
      <c r="A13" s="6" t="s">
        <v>46</v>
      </c>
      <c r="B13" s="6" t="s">
        <v>18</v>
      </c>
      <c r="C13" s="6" t="s">
        <v>872</v>
      </c>
      <c r="D13" s="2" t="s">
        <v>58</v>
      </c>
      <c r="E13" s="7"/>
      <c r="F13" s="7"/>
      <c r="G13" s="6"/>
      <c r="H13" s="6"/>
      <c r="I13" s="16">
        <v>3</v>
      </c>
      <c r="J13" s="7" t="s">
        <v>59</v>
      </c>
      <c r="K13" s="6">
        <v>3</v>
      </c>
      <c r="L13" s="6" t="s">
        <v>60</v>
      </c>
      <c r="M13" s="4" t="s">
        <v>853</v>
      </c>
      <c r="N13" s="4" t="s">
        <v>858</v>
      </c>
      <c r="O13" s="4" t="s">
        <v>865</v>
      </c>
      <c r="P13" s="4" t="s">
        <v>870</v>
      </c>
      <c r="Q13" s="5">
        <f t="shared" ref="Q13:Q15" si="1">IF((COUNT(E13)+COUNT(G13)+COUNT(I13)+COUNT(K13))=2,
   IF(MIN(E13,G13,I13,K13)=MAX(E13,G13,I13,K13),MIN(E13,G13,I13,K13),"final grade?"),
"final grade?")</f>
        <v>3</v>
      </c>
    </row>
    <row r="14" spans="1:17" ht="15.75" customHeight="1" x14ac:dyDescent="0.2">
      <c r="A14" s="6" t="s">
        <v>46</v>
      </c>
      <c r="B14" s="6" t="s">
        <v>22</v>
      </c>
      <c r="C14" s="6" t="s">
        <v>873</v>
      </c>
      <c r="D14" s="2" t="s">
        <v>61</v>
      </c>
      <c r="E14" s="7"/>
      <c r="F14" s="7"/>
      <c r="G14" s="6">
        <v>4</v>
      </c>
      <c r="H14" s="6" t="s">
        <v>62</v>
      </c>
      <c r="I14" s="7"/>
      <c r="J14" s="7"/>
      <c r="K14" s="6">
        <v>4</v>
      </c>
      <c r="L14" s="6" t="s">
        <v>63</v>
      </c>
      <c r="M14" s="4" t="s">
        <v>853</v>
      </c>
      <c r="N14" s="4" t="s">
        <v>858</v>
      </c>
      <c r="O14" s="4" t="s">
        <v>865</v>
      </c>
      <c r="P14" s="4" t="s">
        <v>870</v>
      </c>
      <c r="Q14" s="5">
        <f t="shared" si="1"/>
        <v>4</v>
      </c>
    </row>
    <row r="15" spans="1:17" ht="15.75" customHeight="1" x14ac:dyDescent="0.2">
      <c r="A15" s="6" t="s">
        <v>46</v>
      </c>
      <c r="B15" s="6" t="s">
        <v>28</v>
      </c>
      <c r="C15" s="6" t="s">
        <v>859</v>
      </c>
      <c r="D15" s="2" t="s">
        <v>64</v>
      </c>
      <c r="E15" s="7">
        <v>1</v>
      </c>
      <c r="F15" s="7"/>
      <c r="G15" s="6">
        <v>1</v>
      </c>
      <c r="H15" s="6"/>
      <c r="I15" s="7"/>
      <c r="J15" s="7"/>
      <c r="K15" s="6"/>
      <c r="L15" s="6"/>
      <c r="M15" s="4" t="s">
        <v>853</v>
      </c>
      <c r="N15" s="4" t="s">
        <v>858</v>
      </c>
      <c r="O15" s="4" t="s">
        <v>865</v>
      </c>
      <c r="P15" s="4" t="s">
        <v>870</v>
      </c>
      <c r="Q15" s="5">
        <f t="shared" si="1"/>
        <v>1</v>
      </c>
    </row>
    <row r="16" spans="1:17" ht="15.75" customHeight="1" x14ac:dyDescent="0.2">
      <c r="A16" s="6" t="s">
        <v>46</v>
      </c>
      <c r="B16" s="6" t="s">
        <v>33</v>
      </c>
      <c r="C16" s="6" t="s">
        <v>873</v>
      </c>
      <c r="D16" s="2" t="s">
        <v>65</v>
      </c>
      <c r="E16" s="7"/>
      <c r="F16" s="7"/>
      <c r="G16" s="6">
        <v>3</v>
      </c>
      <c r="H16" s="6" t="s">
        <v>66</v>
      </c>
      <c r="I16" s="7"/>
      <c r="J16" s="7"/>
      <c r="K16" s="6">
        <v>2</v>
      </c>
      <c r="L16" s="6" t="s">
        <v>67</v>
      </c>
      <c r="M16" s="4" t="s">
        <v>853</v>
      </c>
      <c r="N16" s="4" t="s">
        <v>68</v>
      </c>
      <c r="O16" s="4" t="s">
        <v>865</v>
      </c>
      <c r="P16" s="4" t="s">
        <v>870</v>
      </c>
      <c r="Q16" s="5">
        <v>2</v>
      </c>
    </row>
    <row r="17" spans="1:17" ht="15.75" customHeight="1" x14ac:dyDescent="0.2">
      <c r="A17" s="6" t="s">
        <v>46</v>
      </c>
      <c r="B17" s="6" t="s">
        <v>39</v>
      </c>
      <c r="C17" s="6" t="s">
        <v>866</v>
      </c>
      <c r="D17" s="2" t="s">
        <v>69</v>
      </c>
      <c r="E17" s="7">
        <v>2</v>
      </c>
      <c r="F17" s="7" t="s">
        <v>41</v>
      </c>
      <c r="G17" s="6"/>
      <c r="H17" s="6"/>
      <c r="I17" s="16">
        <v>1</v>
      </c>
      <c r="J17" s="7" t="s">
        <v>70</v>
      </c>
      <c r="K17" s="6"/>
      <c r="L17" s="6"/>
      <c r="M17" s="4" t="s">
        <v>71</v>
      </c>
      <c r="N17" s="4" t="s">
        <v>858</v>
      </c>
      <c r="O17" s="4" t="s">
        <v>68</v>
      </c>
      <c r="P17" s="4" t="s">
        <v>870</v>
      </c>
      <c r="Q17" s="5">
        <v>2</v>
      </c>
    </row>
    <row r="18" spans="1:17" ht="15.75" customHeight="1" x14ac:dyDescent="0.2">
      <c r="A18" s="6" t="s">
        <v>72</v>
      </c>
      <c r="B18" s="6" t="s">
        <v>6</v>
      </c>
      <c r="C18" s="6" t="s">
        <v>867</v>
      </c>
      <c r="D18" s="2" t="s">
        <v>73</v>
      </c>
      <c r="E18" s="7"/>
      <c r="F18" s="7"/>
      <c r="G18" s="6">
        <v>3</v>
      </c>
      <c r="H18" s="6" t="s">
        <v>74</v>
      </c>
      <c r="I18" s="16">
        <v>3</v>
      </c>
      <c r="J18" s="7" t="s">
        <v>75</v>
      </c>
      <c r="K18" s="6"/>
      <c r="L18" s="6"/>
      <c r="M18" s="4" t="s">
        <v>853</v>
      </c>
      <c r="N18" s="4" t="s">
        <v>858</v>
      </c>
      <c r="O18" s="4" t="s">
        <v>865</v>
      </c>
      <c r="P18" s="4" t="s">
        <v>870</v>
      </c>
      <c r="Q18" s="5">
        <f t="shared" ref="Q18:Q19" si="2">IF((COUNT(E18)+COUNT(G18)+COUNT(I18)+COUNT(K18))=2,
   IF(MIN(E18,G18,I18,K18)=MAX(E18,G18,I18,K18),MIN(E18,G18,I18,K18),"final grade?"),
"final grade?")</f>
        <v>3</v>
      </c>
    </row>
    <row r="19" spans="1:17" ht="15.75" customHeight="1" x14ac:dyDescent="0.2">
      <c r="A19" s="6" t="s">
        <v>72</v>
      </c>
      <c r="B19" s="6" t="s">
        <v>9</v>
      </c>
      <c r="C19" s="6" t="s">
        <v>872</v>
      </c>
      <c r="D19" s="2" t="s">
        <v>76</v>
      </c>
      <c r="E19" s="7"/>
      <c r="F19" s="7"/>
      <c r="G19" s="6"/>
      <c r="H19" s="6"/>
      <c r="I19" s="16">
        <v>1</v>
      </c>
      <c r="J19" s="7" t="s">
        <v>77</v>
      </c>
      <c r="K19" s="6">
        <v>1</v>
      </c>
      <c r="L19" s="6" t="s">
        <v>78</v>
      </c>
      <c r="M19" s="4" t="s">
        <v>853</v>
      </c>
      <c r="N19" s="4" t="s">
        <v>858</v>
      </c>
      <c r="O19" s="4" t="s">
        <v>865</v>
      </c>
      <c r="P19" s="4" t="s">
        <v>870</v>
      </c>
      <c r="Q19" s="5">
        <f t="shared" si="2"/>
        <v>1</v>
      </c>
    </row>
    <row r="20" spans="1:17" ht="15.75" customHeight="1" x14ac:dyDescent="0.2">
      <c r="A20" s="6" t="s">
        <v>72</v>
      </c>
      <c r="B20" s="6" t="s">
        <v>13</v>
      </c>
      <c r="C20" s="6" t="s">
        <v>867</v>
      </c>
      <c r="D20" s="2" t="s">
        <v>79</v>
      </c>
      <c r="E20" s="7"/>
      <c r="F20" s="7"/>
      <c r="G20" s="6">
        <v>3</v>
      </c>
      <c r="H20" s="6" t="s">
        <v>80</v>
      </c>
      <c r="I20" s="16">
        <v>5</v>
      </c>
      <c r="J20" s="7"/>
      <c r="K20" s="6"/>
      <c r="L20" s="6"/>
      <c r="M20" s="4" t="s">
        <v>853</v>
      </c>
      <c r="N20" s="4" t="s">
        <v>81</v>
      </c>
      <c r="O20" s="4" t="s">
        <v>50</v>
      </c>
      <c r="P20" s="4" t="s">
        <v>870</v>
      </c>
      <c r="Q20" s="5">
        <v>3</v>
      </c>
    </row>
    <row r="21" spans="1:17" ht="15.75" customHeight="1" x14ac:dyDescent="0.2">
      <c r="A21" s="6" t="s">
        <v>72</v>
      </c>
      <c r="B21" s="6" t="s">
        <v>18</v>
      </c>
      <c r="C21" s="6" t="s">
        <v>871</v>
      </c>
      <c r="D21" s="2" t="s">
        <v>82</v>
      </c>
      <c r="E21" s="7">
        <v>4</v>
      </c>
      <c r="F21" s="7" t="s">
        <v>83</v>
      </c>
      <c r="G21" s="6"/>
      <c r="H21" s="6"/>
      <c r="I21" s="7"/>
      <c r="J21" s="7"/>
      <c r="K21" s="6">
        <v>3</v>
      </c>
      <c r="L21" s="6" t="s">
        <v>84</v>
      </c>
      <c r="M21" s="4" t="s">
        <v>85</v>
      </c>
      <c r="N21" s="4" t="s">
        <v>858</v>
      </c>
      <c r="O21" s="4" t="s">
        <v>865</v>
      </c>
      <c r="P21" s="4" t="s">
        <v>86</v>
      </c>
      <c r="Q21" s="5">
        <v>4</v>
      </c>
    </row>
    <row r="22" spans="1:17" ht="15.75" customHeight="1" x14ac:dyDescent="0.2">
      <c r="A22" s="6" t="s">
        <v>72</v>
      </c>
      <c r="B22" s="6" t="s">
        <v>22</v>
      </c>
      <c r="C22" s="6" t="s">
        <v>859</v>
      </c>
      <c r="D22" s="2" t="s">
        <v>87</v>
      </c>
      <c r="E22" s="7">
        <v>4</v>
      </c>
      <c r="F22" s="7" t="s">
        <v>88</v>
      </c>
      <c r="G22" s="6">
        <v>4</v>
      </c>
      <c r="H22" s="6" t="s">
        <v>89</v>
      </c>
      <c r="I22" s="7"/>
      <c r="J22" s="7"/>
      <c r="K22" s="6"/>
      <c r="L22" s="6"/>
      <c r="M22" s="4" t="s">
        <v>853</v>
      </c>
      <c r="N22" s="4" t="s">
        <v>858</v>
      </c>
      <c r="O22" s="4" t="s">
        <v>865</v>
      </c>
      <c r="P22" s="4" t="s">
        <v>870</v>
      </c>
      <c r="Q22" s="5">
        <f>IF((COUNT(E22)+COUNT(G22)+COUNT(I22)+COUNT(K22))=2,
   IF(MIN(E22,G22,I22,K22)=MAX(E22,G22,I22,K22),MIN(E22,G22,I22,K22),"final grade?"),
"final grade?")</f>
        <v>4</v>
      </c>
    </row>
    <row r="23" spans="1:17" ht="277.5" customHeight="1" x14ac:dyDescent="0.2">
      <c r="A23" s="6" t="s">
        <v>72</v>
      </c>
      <c r="B23" s="6" t="s">
        <v>28</v>
      </c>
      <c r="C23" s="6" t="s">
        <v>867</v>
      </c>
      <c r="D23" s="2" t="s">
        <v>90</v>
      </c>
      <c r="E23" s="7"/>
      <c r="F23" s="7"/>
      <c r="G23" s="6">
        <v>1</v>
      </c>
      <c r="H23" s="6"/>
      <c r="I23" s="16">
        <v>5</v>
      </c>
      <c r="J23" s="7"/>
      <c r="K23" s="6"/>
      <c r="L23" s="6"/>
      <c r="M23" s="4" t="s">
        <v>853</v>
      </c>
      <c r="N23" s="4" t="s">
        <v>91</v>
      </c>
      <c r="O23" s="4" t="s">
        <v>92</v>
      </c>
      <c r="P23" s="4" t="s">
        <v>870</v>
      </c>
      <c r="Q23" s="17">
        <v>1</v>
      </c>
    </row>
    <row r="24" spans="1:17" ht="15.75" customHeight="1" x14ac:dyDescent="0.2">
      <c r="A24" s="6" t="s">
        <v>72</v>
      </c>
      <c r="B24" s="6" t="s">
        <v>33</v>
      </c>
      <c r="C24" s="6" t="s">
        <v>872</v>
      </c>
      <c r="D24" s="2" t="s">
        <v>93</v>
      </c>
      <c r="E24" s="7"/>
      <c r="F24" s="7"/>
      <c r="G24" s="6"/>
      <c r="H24" s="6"/>
      <c r="I24" s="16">
        <v>5</v>
      </c>
      <c r="J24" s="7"/>
      <c r="K24" s="6">
        <v>5</v>
      </c>
      <c r="L24" s="6"/>
      <c r="M24" s="4" t="s">
        <v>853</v>
      </c>
      <c r="N24" s="4" t="s">
        <v>858</v>
      </c>
      <c r="O24" s="4" t="s">
        <v>865</v>
      </c>
      <c r="P24" s="4" t="s">
        <v>870</v>
      </c>
      <c r="Q24" s="5">
        <f>IF((COUNT(E24)+COUNT(G24)+COUNT(I24)+COUNT(K24))=2,
   IF(MIN(E24,G24,I24,K24)=MAX(E24,G24,I24,K24),MIN(E24,G24,I24,K24),"final grade?"),
"final grade?")</f>
        <v>5</v>
      </c>
    </row>
    <row r="25" spans="1:17" ht="15.75" customHeight="1" x14ac:dyDescent="0.2">
      <c r="A25" s="6" t="s">
        <v>72</v>
      </c>
      <c r="B25" s="6" t="s">
        <v>39</v>
      </c>
      <c r="C25" s="6" t="s">
        <v>871</v>
      </c>
      <c r="D25" s="2" t="s">
        <v>94</v>
      </c>
      <c r="E25" s="7">
        <v>1</v>
      </c>
      <c r="F25" s="7"/>
      <c r="G25" s="6"/>
      <c r="H25" s="6"/>
      <c r="I25" s="7"/>
      <c r="J25" s="7"/>
      <c r="K25" s="6">
        <v>4</v>
      </c>
      <c r="L25" s="6" t="s">
        <v>95</v>
      </c>
      <c r="M25" s="4" t="s">
        <v>96</v>
      </c>
      <c r="N25" s="4" t="s">
        <v>858</v>
      </c>
      <c r="O25" s="4" t="s">
        <v>865</v>
      </c>
      <c r="P25" s="18" t="s">
        <v>97</v>
      </c>
      <c r="Q25" s="17">
        <v>1</v>
      </c>
    </row>
    <row r="26" spans="1:17" ht="15.75" customHeight="1" x14ac:dyDescent="0.2">
      <c r="A26" s="6" t="s">
        <v>98</v>
      </c>
      <c r="B26" s="6" t="s">
        <v>6</v>
      </c>
      <c r="C26" s="6" t="s">
        <v>867</v>
      </c>
      <c r="D26" s="2" t="s">
        <v>99</v>
      </c>
      <c r="E26" s="7"/>
      <c r="F26" s="7"/>
      <c r="G26" s="6">
        <v>5</v>
      </c>
      <c r="H26" s="6"/>
      <c r="I26" s="16">
        <v>4</v>
      </c>
      <c r="J26" s="7" t="s">
        <v>100</v>
      </c>
      <c r="K26" s="6"/>
      <c r="L26" s="6"/>
      <c r="M26" s="4" t="s">
        <v>853</v>
      </c>
      <c r="N26" s="4" t="s">
        <v>101</v>
      </c>
      <c r="O26" s="4" t="s">
        <v>102</v>
      </c>
      <c r="P26" s="4" t="s">
        <v>870</v>
      </c>
      <c r="Q26" s="17">
        <v>5</v>
      </c>
    </row>
    <row r="27" spans="1:17" ht="15.75" customHeight="1" x14ac:dyDescent="0.2">
      <c r="A27" s="6" t="s">
        <v>98</v>
      </c>
      <c r="B27" s="6" t="s">
        <v>9</v>
      </c>
      <c r="C27" s="6" t="s">
        <v>872</v>
      </c>
      <c r="D27" s="2" t="s">
        <v>103</v>
      </c>
      <c r="E27" s="7"/>
      <c r="F27" s="7"/>
      <c r="G27" s="6"/>
      <c r="H27" s="6"/>
      <c r="I27" s="16">
        <v>3</v>
      </c>
      <c r="J27" s="7" t="s">
        <v>104</v>
      </c>
      <c r="K27" s="6">
        <v>5</v>
      </c>
      <c r="L27" s="6"/>
      <c r="M27" s="4" t="s">
        <v>853</v>
      </c>
      <c r="N27" s="4" t="s">
        <v>105</v>
      </c>
      <c r="O27" s="4" t="s">
        <v>106</v>
      </c>
      <c r="P27" s="4" t="s">
        <v>107</v>
      </c>
      <c r="Q27" s="17">
        <v>5</v>
      </c>
    </row>
    <row r="28" spans="1:17" ht="15.75" customHeight="1" x14ac:dyDescent="0.2">
      <c r="A28" s="6" t="s">
        <v>98</v>
      </c>
      <c r="B28" s="6" t="s">
        <v>13</v>
      </c>
      <c r="C28" s="6" t="s">
        <v>859</v>
      </c>
      <c r="D28" s="2" t="s">
        <v>108</v>
      </c>
      <c r="E28" s="7">
        <v>5</v>
      </c>
      <c r="F28" s="7"/>
      <c r="G28" s="6">
        <v>3</v>
      </c>
      <c r="H28" s="6" t="s">
        <v>109</v>
      </c>
      <c r="I28" s="7"/>
      <c r="J28" s="7"/>
      <c r="K28" s="6"/>
      <c r="L28" s="6"/>
      <c r="M28" s="4" t="s">
        <v>110</v>
      </c>
      <c r="N28" s="4" t="s">
        <v>858</v>
      </c>
      <c r="O28" s="4" t="s">
        <v>865</v>
      </c>
      <c r="P28" s="4" t="s">
        <v>870</v>
      </c>
      <c r="Q28" s="5">
        <v>3</v>
      </c>
    </row>
    <row r="29" spans="1:17" ht="15.75" customHeight="1" x14ac:dyDescent="0.2">
      <c r="A29" s="6" t="s">
        <v>98</v>
      </c>
      <c r="B29" s="6" t="s">
        <v>18</v>
      </c>
      <c r="C29" s="6" t="s">
        <v>867</v>
      </c>
      <c r="D29" s="2" t="s">
        <v>111</v>
      </c>
      <c r="E29" s="7"/>
      <c r="F29" s="7"/>
      <c r="G29" s="6">
        <v>1</v>
      </c>
      <c r="H29" s="6" t="s">
        <v>112</v>
      </c>
      <c r="I29" s="16">
        <v>1</v>
      </c>
      <c r="J29" s="7" t="s">
        <v>77</v>
      </c>
      <c r="K29" s="6"/>
      <c r="L29" s="6"/>
      <c r="M29" s="4" t="s">
        <v>853</v>
      </c>
      <c r="N29" s="4" t="s">
        <v>858</v>
      </c>
      <c r="O29" s="4" t="s">
        <v>865</v>
      </c>
      <c r="P29" s="4" t="s">
        <v>870</v>
      </c>
      <c r="Q29" s="5">
        <f>IF((COUNT(E29)+COUNT(G29)+COUNT(I29)+COUNT(K29))=2,
   IF(MIN(E29,G29,I29,K29)=MAX(E29,G29,I29,K29),MIN(E29,G29,I29,K29),"final grade?"),
"final grade?")</f>
        <v>1</v>
      </c>
    </row>
    <row r="30" spans="1:17" ht="15.75" customHeight="1" x14ac:dyDescent="0.2">
      <c r="A30" s="6" t="s">
        <v>98</v>
      </c>
      <c r="B30" s="6" t="s">
        <v>22</v>
      </c>
      <c r="C30" s="6" t="s">
        <v>872</v>
      </c>
      <c r="D30" s="2" t="s">
        <v>113</v>
      </c>
      <c r="E30" s="7"/>
      <c r="F30" s="7"/>
      <c r="G30" s="6"/>
      <c r="H30" s="6"/>
      <c r="I30" s="16">
        <v>3</v>
      </c>
      <c r="J30" s="7" t="s">
        <v>114</v>
      </c>
      <c r="K30" s="6">
        <v>4</v>
      </c>
      <c r="L30" s="6" t="s">
        <v>115</v>
      </c>
      <c r="M30" s="4" t="s">
        <v>853</v>
      </c>
      <c r="N30" s="4" t="s">
        <v>858</v>
      </c>
      <c r="O30" s="4" t="s">
        <v>865</v>
      </c>
      <c r="P30" s="4" t="s">
        <v>116</v>
      </c>
      <c r="Q30" s="5">
        <v>3</v>
      </c>
    </row>
    <row r="31" spans="1:17" ht="15.75" customHeight="1" x14ac:dyDescent="0.2">
      <c r="A31" s="6" t="s">
        <v>98</v>
      </c>
      <c r="B31" s="6" t="s">
        <v>28</v>
      </c>
      <c r="C31" s="6" t="s">
        <v>872</v>
      </c>
      <c r="D31" s="2" t="s">
        <v>117</v>
      </c>
      <c r="E31" s="7"/>
      <c r="F31" s="7"/>
      <c r="G31" s="6"/>
      <c r="H31" s="6"/>
      <c r="I31" s="16">
        <v>2</v>
      </c>
      <c r="J31" s="7" t="s">
        <v>118</v>
      </c>
      <c r="K31" s="6">
        <v>2</v>
      </c>
      <c r="L31" s="6" t="s">
        <v>119</v>
      </c>
      <c r="M31" s="4" t="s">
        <v>853</v>
      </c>
      <c r="N31" s="4" t="s">
        <v>858</v>
      </c>
      <c r="O31" s="4" t="s">
        <v>865</v>
      </c>
      <c r="P31" s="4" t="s">
        <v>870</v>
      </c>
      <c r="Q31" s="5">
        <f>IF((COUNT(E31)+COUNT(G31)+COUNT(I31)+COUNT(K31))=2,
   IF(MIN(E31,G31,I31,K31)=MAX(E31,G31,I31,K31),MIN(E31,G31,I31,K31),"final grade?"),
"final grade?")</f>
        <v>2</v>
      </c>
    </row>
    <row r="32" spans="1:17" ht="15.75" customHeight="1" x14ac:dyDescent="0.2">
      <c r="A32" s="6" t="s">
        <v>98</v>
      </c>
      <c r="B32" s="6" t="s">
        <v>33</v>
      </c>
      <c r="C32" s="6" t="s">
        <v>871</v>
      </c>
      <c r="D32" s="2" t="s">
        <v>120</v>
      </c>
      <c r="E32" s="7">
        <v>4</v>
      </c>
      <c r="F32" s="7" t="s">
        <v>121</v>
      </c>
      <c r="G32" s="6"/>
      <c r="H32" s="6"/>
      <c r="I32" s="7"/>
      <c r="J32" s="7"/>
      <c r="K32" s="6">
        <v>3</v>
      </c>
      <c r="L32" s="6" t="s">
        <v>122</v>
      </c>
      <c r="M32" s="4" t="s">
        <v>50</v>
      </c>
      <c r="N32" s="4" t="s">
        <v>858</v>
      </c>
      <c r="O32" s="4" t="s">
        <v>865</v>
      </c>
      <c r="P32" s="4" t="s">
        <v>51</v>
      </c>
      <c r="Q32" s="5">
        <v>3</v>
      </c>
    </row>
    <row r="33" spans="1:17" ht="78" customHeight="1" x14ac:dyDescent="0.2">
      <c r="A33" s="6" t="s">
        <v>98</v>
      </c>
      <c r="B33" s="6" t="s">
        <v>39</v>
      </c>
      <c r="C33" s="6" t="s">
        <v>867</v>
      </c>
      <c r="D33" s="2" t="s">
        <v>123</v>
      </c>
      <c r="E33" s="7"/>
      <c r="F33" s="7"/>
      <c r="G33" s="6">
        <v>3</v>
      </c>
      <c r="H33" s="6" t="s">
        <v>42</v>
      </c>
      <c r="I33" s="16">
        <v>1</v>
      </c>
      <c r="J33" s="7" t="s">
        <v>124</v>
      </c>
      <c r="K33" s="6"/>
      <c r="L33" s="6"/>
      <c r="M33" s="4" t="s">
        <v>853</v>
      </c>
      <c r="N33" s="4" t="s">
        <v>858</v>
      </c>
      <c r="O33" s="4" t="s">
        <v>125</v>
      </c>
      <c r="P33" s="4" t="s">
        <v>870</v>
      </c>
      <c r="Q33" s="5">
        <v>3</v>
      </c>
    </row>
    <row r="34" spans="1:17" ht="15.75" customHeight="1" x14ac:dyDescent="0.2">
      <c r="A34" s="6" t="s">
        <v>126</v>
      </c>
      <c r="B34" s="6" t="s">
        <v>6</v>
      </c>
      <c r="C34" s="6" t="s">
        <v>866</v>
      </c>
      <c r="D34" s="2" t="s">
        <v>127</v>
      </c>
      <c r="E34" s="7">
        <v>3</v>
      </c>
      <c r="F34" s="7" t="s">
        <v>128</v>
      </c>
      <c r="G34" s="6"/>
      <c r="H34" s="6"/>
      <c r="I34" s="16">
        <v>3</v>
      </c>
      <c r="J34" s="7" t="s">
        <v>129</v>
      </c>
      <c r="K34" s="6"/>
      <c r="L34" s="6"/>
      <c r="M34" s="4" t="s">
        <v>853</v>
      </c>
      <c r="N34" s="4" t="s">
        <v>858</v>
      </c>
      <c r="O34" s="4" t="s">
        <v>865</v>
      </c>
      <c r="P34" s="4" t="s">
        <v>870</v>
      </c>
      <c r="Q34" s="5">
        <f>IF((COUNT(E34)+COUNT(G34)+COUNT(I34)+COUNT(K34))=2,
   IF(MIN(E34,G34,I34,K34)=MAX(E34,G34,I34,K34),MIN(E34,G34,I34,K34),"final grade?"),
"final grade?")</f>
        <v>3</v>
      </c>
    </row>
    <row r="35" spans="1:17" ht="15.75" customHeight="1" x14ac:dyDescent="0.2">
      <c r="A35" s="6" t="s">
        <v>126</v>
      </c>
      <c r="B35" s="6" t="s">
        <v>9</v>
      </c>
      <c r="C35" s="6" t="s">
        <v>867</v>
      </c>
      <c r="D35" s="2" t="s">
        <v>130</v>
      </c>
      <c r="E35" s="7"/>
      <c r="F35" s="7"/>
      <c r="G35" s="6">
        <v>3</v>
      </c>
      <c r="H35" s="6" t="s">
        <v>12</v>
      </c>
      <c r="I35" s="16">
        <v>1</v>
      </c>
      <c r="J35" s="7" t="s">
        <v>77</v>
      </c>
      <c r="K35" s="6"/>
      <c r="L35" s="6"/>
      <c r="M35" s="4" t="s">
        <v>853</v>
      </c>
      <c r="N35" s="4" t="s">
        <v>858</v>
      </c>
      <c r="O35" s="4" t="s">
        <v>131</v>
      </c>
      <c r="P35" s="4" t="s">
        <v>870</v>
      </c>
      <c r="Q35" s="5">
        <v>3</v>
      </c>
    </row>
    <row r="36" spans="1:17" ht="15.75" customHeight="1" x14ac:dyDescent="0.2">
      <c r="A36" s="6" t="s">
        <v>126</v>
      </c>
      <c r="B36" s="6" t="s">
        <v>13</v>
      </c>
      <c r="C36" s="6" t="s">
        <v>859</v>
      </c>
      <c r="D36" s="2" t="s">
        <v>132</v>
      </c>
      <c r="E36" s="7">
        <v>2</v>
      </c>
      <c r="F36" s="7" t="s">
        <v>133</v>
      </c>
      <c r="G36" s="6">
        <v>3</v>
      </c>
      <c r="H36" s="6" t="s">
        <v>134</v>
      </c>
      <c r="I36" s="7"/>
      <c r="J36" s="7"/>
      <c r="K36" s="6"/>
      <c r="L36" s="6"/>
      <c r="M36" s="4" t="s">
        <v>135</v>
      </c>
      <c r="N36" s="4" t="s">
        <v>854</v>
      </c>
      <c r="O36" s="4" t="s">
        <v>865</v>
      </c>
      <c r="P36" s="4" t="s">
        <v>870</v>
      </c>
      <c r="Q36" s="5">
        <v>2</v>
      </c>
    </row>
    <row r="37" spans="1:17" ht="15.75" customHeight="1" x14ac:dyDescent="0.2">
      <c r="A37" s="6" t="s">
        <v>126</v>
      </c>
      <c r="B37" s="6" t="s">
        <v>18</v>
      </c>
      <c r="C37" s="6" t="s">
        <v>867</v>
      </c>
      <c r="D37" s="2" t="s">
        <v>136</v>
      </c>
      <c r="E37" s="7"/>
      <c r="F37" s="7"/>
      <c r="G37" s="6">
        <v>3</v>
      </c>
      <c r="H37" s="6" t="s">
        <v>137</v>
      </c>
      <c r="I37" s="16">
        <v>5</v>
      </c>
      <c r="J37" s="7"/>
      <c r="K37" s="6"/>
      <c r="L37" s="6"/>
      <c r="M37" s="4" t="s">
        <v>853</v>
      </c>
      <c r="N37" s="4" t="s">
        <v>868</v>
      </c>
      <c r="O37" s="4" t="s">
        <v>138</v>
      </c>
      <c r="P37" s="4" t="s">
        <v>870</v>
      </c>
      <c r="Q37" s="17">
        <v>4</v>
      </c>
    </row>
    <row r="38" spans="1:17" ht="15.75" customHeight="1" x14ac:dyDescent="0.2">
      <c r="A38" s="6" t="s">
        <v>126</v>
      </c>
      <c r="B38" s="6" t="s">
        <v>22</v>
      </c>
      <c r="C38" s="6" t="s">
        <v>866</v>
      </c>
      <c r="D38" s="2" t="s">
        <v>139</v>
      </c>
      <c r="E38" s="7">
        <v>4</v>
      </c>
      <c r="F38" s="7" t="s">
        <v>140</v>
      </c>
      <c r="G38" s="6"/>
      <c r="H38" s="6"/>
      <c r="I38" s="16">
        <v>4</v>
      </c>
      <c r="J38" s="7" t="s">
        <v>141</v>
      </c>
      <c r="K38" s="6"/>
      <c r="L38" s="6"/>
      <c r="M38" s="4" t="s">
        <v>853</v>
      </c>
      <c r="N38" s="4" t="s">
        <v>858</v>
      </c>
      <c r="O38" s="4" t="s">
        <v>865</v>
      </c>
      <c r="P38" s="4" t="s">
        <v>870</v>
      </c>
      <c r="Q38" s="5">
        <f t="shared" ref="Q38:Q39" si="3">IF((COUNT(E38)+COUNT(G38)+COUNT(I38)+COUNT(K38))=2,
   IF(MIN(E38,G38,I38,K38)=MAX(E38,G38,I38,K38),MIN(E38,G38,I38,K38),"final grade?"),
"final grade?")</f>
        <v>4</v>
      </c>
    </row>
    <row r="39" spans="1:17" ht="15.75" customHeight="1" x14ac:dyDescent="0.2">
      <c r="A39" s="6" t="s">
        <v>126</v>
      </c>
      <c r="B39" s="6" t="s">
        <v>28</v>
      </c>
      <c r="C39" s="6" t="s">
        <v>867</v>
      </c>
      <c r="D39" s="2" t="s">
        <v>142</v>
      </c>
      <c r="E39" s="7"/>
      <c r="F39" s="7"/>
      <c r="G39" s="6">
        <v>1</v>
      </c>
      <c r="H39" s="6"/>
      <c r="I39" s="16">
        <v>1</v>
      </c>
      <c r="J39" s="7" t="s">
        <v>143</v>
      </c>
      <c r="K39" s="6"/>
      <c r="L39" s="6"/>
      <c r="M39" s="4" t="s">
        <v>853</v>
      </c>
      <c r="N39" s="4" t="s">
        <v>858</v>
      </c>
      <c r="O39" s="4" t="s">
        <v>865</v>
      </c>
      <c r="P39" s="4" t="s">
        <v>870</v>
      </c>
      <c r="Q39" s="5">
        <f t="shared" si="3"/>
        <v>1</v>
      </c>
    </row>
    <row r="40" spans="1:17" ht="15.75" customHeight="1" x14ac:dyDescent="0.2">
      <c r="A40" s="6" t="s">
        <v>126</v>
      </c>
      <c r="B40" s="6" t="s">
        <v>33</v>
      </c>
      <c r="C40" s="6" t="s">
        <v>872</v>
      </c>
      <c r="D40" s="2" t="s">
        <v>144</v>
      </c>
      <c r="E40" s="7"/>
      <c r="F40" s="7"/>
      <c r="G40" s="6"/>
      <c r="H40" s="6"/>
      <c r="I40" s="16">
        <v>3</v>
      </c>
      <c r="J40" s="7" t="s">
        <v>70</v>
      </c>
      <c r="K40" s="6">
        <v>2</v>
      </c>
      <c r="L40" s="6" t="s">
        <v>145</v>
      </c>
      <c r="M40" s="4" t="s">
        <v>853</v>
      </c>
      <c r="N40" s="4" t="s">
        <v>858</v>
      </c>
      <c r="O40" s="4" t="s">
        <v>865</v>
      </c>
      <c r="P40" s="4" t="s">
        <v>116</v>
      </c>
      <c r="Q40" s="5">
        <v>3</v>
      </c>
    </row>
    <row r="41" spans="1:17" ht="15.75" customHeight="1" x14ac:dyDescent="0.2">
      <c r="A41" s="6" t="s">
        <v>126</v>
      </c>
      <c r="B41" s="6" t="s">
        <v>39</v>
      </c>
      <c r="C41" s="6" t="s">
        <v>871</v>
      </c>
      <c r="D41" s="2" t="s">
        <v>146</v>
      </c>
      <c r="E41" s="7">
        <v>2</v>
      </c>
      <c r="F41" s="7" t="s">
        <v>41</v>
      </c>
      <c r="G41" s="6"/>
      <c r="H41" s="6"/>
      <c r="I41" s="7"/>
      <c r="J41" s="7"/>
      <c r="K41" s="6">
        <v>2</v>
      </c>
      <c r="L41" s="6" t="s">
        <v>147</v>
      </c>
      <c r="M41" s="4" t="s">
        <v>853</v>
      </c>
      <c r="N41" s="4" t="s">
        <v>858</v>
      </c>
      <c r="O41" s="4" t="s">
        <v>865</v>
      </c>
      <c r="P41" s="4" t="s">
        <v>870</v>
      </c>
      <c r="Q41" s="5">
        <f t="shared" ref="Q41:Q43" si="4">IF((COUNT(E41)+COUNT(G41)+COUNT(I41)+COUNT(K41))=2,
   IF(MIN(E41,G41,I41,K41)=MAX(E41,G41,I41,K41),MIN(E41,G41,I41,K41),"final grade?"),
"final grade?")</f>
        <v>2</v>
      </c>
    </row>
    <row r="42" spans="1:17" ht="15.75" customHeight="1" x14ac:dyDescent="0.2">
      <c r="A42" s="6" t="s">
        <v>148</v>
      </c>
      <c r="B42" s="6" t="s">
        <v>6</v>
      </c>
      <c r="C42" s="6" t="s">
        <v>867</v>
      </c>
      <c r="D42" s="2" t="s">
        <v>149</v>
      </c>
      <c r="E42" s="7"/>
      <c r="F42" s="7"/>
      <c r="G42" s="6">
        <v>5</v>
      </c>
      <c r="H42" s="6" t="s">
        <v>150</v>
      </c>
      <c r="I42" s="16">
        <v>5</v>
      </c>
      <c r="J42" s="7"/>
      <c r="K42" s="6"/>
      <c r="L42" s="6"/>
      <c r="M42" s="4" t="s">
        <v>853</v>
      </c>
      <c r="N42" s="4" t="s">
        <v>858</v>
      </c>
      <c r="O42" s="4" t="s">
        <v>865</v>
      </c>
      <c r="P42" s="4" t="s">
        <v>870</v>
      </c>
      <c r="Q42" s="5">
        <f t="shared" si="4"/>
        <v>5</v>
      </c>
    </row>
    <row r="43" spans="1:17" ht="15.75" customHeight="1" x14ac:dyDescent="0.2">
      <c r="A43" s="6" t="s">
        <v>148</v>
      </c>
      <c r="B43" s="6" t="s">
        <v>9</v>
      </c>
      <c r="C43" s="6" t="s">
        <v>871</v>
      </c>
      <c r="D43" s="2" t="s">
        <v>151</v>
      </c>
      <c r="E43" s="7">
        <v>3</v>
      </c>
      <c r="F43" s="7" t="s">
        <v>11</v>
      </c>
      <c r="G43" s="6"/>
      <c r="H43" s="6"/>
      <c r="I43" s="7"/>
      <c r="J43" s="7"/>
      <c r="K43" s="6">
        <v>3</v>
      </c>
      <c r="L43" s="6" t="s">
        <v>152</v>
      </c>
      <c r="M43" s="4" t="s">
        <v>853</v>
      </c>
      <c r="N43" s="4" t="s">
        <v>858</v>
      </c>
      <c r="O43" s="4" t="s">
        <v>865</v>
      </c>
      <c r="P43" s="4" t="s">
        <v>870</v>
      </c>
      <c r="Q43" s="5">
        <f t="shared" si="4"/>
        <v>3</v>
      </c>
    </row>
    <row r="44" spans="1:17" ht="15.75" customHeight="1" x14ac:dyDescent="0.2">
      <c r="A44" s="6" t="s">
        <v>148</v>
      </c>
      <c r="B44" s="6" t="s">
        <v>13</v>
      </c>
      <c r="C44" s="6" t="s">
        <v>871</v>
      </c>
      <c r="D44" s="2" t="s">
        <v>153</v>
      </c>
      <c r="E44" s="7">
        <v>2</v>
      </c>
      <c r="F44" s="7" t="s">
        <v>133</v>
      </c>
      <c r="G44" s="6"/>
      <c r="H44" s="6"/>
      <c r="I44" s="7"/>
      <c r="J44" s="7"/>
      <c r="K44" s="6">
        <v>4</v>
      </c>
      <c r="L44" s="6" t="s">
        <v>154</v>
      </c>
      <c r="M44" s="4" t="s">
        <v>155</v>
      </c>
      <c r="N44" s="4" t="s">
        <v>858</v>
      </c>
      <c r="O44" s="4" t="s">
        <v>865</v>
      </c>
      <c r="P44" s="4" t="s">
        <v>156</v>
      </c>
      <c r="Q44" s="5">
        <v>3</v>
      </c>
    </row>
    <row r="45" spans="1:17" ht="15.75" customHeight="1" x14ac:dyDescent="0.2">
      <c r="A45" s="6" t="s">
        <v>148</v>
      </c>
      <c r="B45" s="6" t="s">
        <v>18</v>
      </c>
      <c r="C45" s="6" t="s">
        <v>872</v>
      </c>
      <c r="D45" s="2" t="s">
        <v>157</v>
      </c>
      <c r="E45" s="7"/>
      <c r="F45" s="7"/>
      <c r="G45" s="6"/>
      <c r="H45" s="6"/>
      <c r="I45" s="16">
        <v>3</v>
      </c>
      <c r="J45" s="7" t="s">
        <v>158</v>
      </c>
      <c r="K45" s="6">
        <v>3</v>
      </c>
      <c r="L45" s="6" t="s">
        <v>159</v>
      </c>
      <c r="M45" s="4" t="s">
        <v>853</v>
      </c>
      <c r="N45" s="4" t="s">
        <v>858</v>
      </c>
      <c r="O45" s="4" t="s">
        <v>865</v>
      </c>
      <c r="P45" s="4" t="s">
        <v>870</v>
      </c>
      <c r="Q45" s="5">
        <f>IF((COUNT(E45)+COUNT(G45)+COUNT(I45)+COUNT(K45))=2,
   IF(MIN(E45,G45,I45,K45)=MAX(E45,G45,I45,K45),MIN(E45,G45,I45,K45),"final grade?"),
"final grade?")</f>
        <v>3</v>
      </c>
    </row>
    <row r="46" spans="1:17" ht="15.75" customHeight="1" x14ac:dyDescent="0.2">
      <c r="A46" s="6" t="s">
        <v>148</v>
      </c>
      <c r="B46" s="6" t="s">
        <v>22</v>
      </c>
      <c r="C46" s="6" t="s">
        <v>873</v>
      </c>
      <c r="D46" s="2" t="s">
        <v>160</v>
      </c>
      <c r="E46" s="7"/>
      <c r="F46" s="7"/>
      <c r="G46" s="6">
        <v>3</v>
      </c>
      <c r="H46" s="6" t="s">
        <v>161</v>
      </c>
      <c r="I46" s="7"/>
      <c r="J46" s="7"/>
      <c r="K46" s="6">
        <v>2</v>
      </c>
      <c r="L46" s="6" t="s">
        <v>162</v>
      </c>
      <c r="M46" s="4" t="s">
        <v>853</v>
      </c>
      <c r="N46" s="4" t="s">
        <v>163</v>
      </c>
      <c r="O46" s="4" t="s">
        <v>865</v>
      </c>
      <c r="P46" s="4" t="s">
        <v>164</v>
      </c>
      <c r="Q46" s="5">
        <v>3</v>
      </c>
    </row>
    <row r="47" spans="1:17" ht="15.75" customHeight="1" x14ac:dyDescent="0.2">
      <c r="A47" s="6" t="s">
        <v>148</v>
      </c>
      <c r="B47" s="6" t="s">
        <v>28</v>
      </c>
      <c r="C47" s="6" t="s">
        <v>872</v>
      </c>
      <c r="D47" s="15" t="s">
        <v>165</v>
      </c>
      <c r="E47" s="7"/>
      <c r="F47" s="7"/>
      <c r="G47" s="6"/>
      <c r="H47" s="6"/>
      <c r="I47" s="16">
        <v>4</v>
      </c>
      <c r="J47" s="7" t="s">
        <v>166</v>
      </c>
      <c r="K47" s="6">
        <v>1</v>
      </c>
      <c r="L47" s="6" t="s">
        <v>167</v>
      </c>
      <c r="M47" s="4" t="s">
        <v>853</v>
      </c>
      <c r="N47" s="4" t="s">
        <v>858</v>
      </c>
      <c r="O47" s="4" t="s">
        <v>168</v>
      </c>
      <c r="P47" s="4" t="s">
        <v>169</v>
      </c>
      <c r="Q47" s="5">
        <v>2</v>
      </c>
    </row>
    <row r="48" spans="1:17" ht="15.75" customHeight="1" x14ac:dyDescent="0.2">
      <c r="A48" s="6" t="s">
        <v>148</v>
      </c>
      <c r="B48" s="6" t="s">
        <v>33</v>
      </c>
      <c r="C48" s="6" t="s">
        <v>873</v>
      </c>
      <c r="D48" s="2" t="s">
        <v>170</v>
      </c>
      <c r="E48" s="7"/>
      <c r="F48" s="7"/>
      <c r="G48" s="6">
        <v>5</v>
      </c>
      <c r="H48" s="6"/>
      <c r="I48" s="7"/>
      <c r="J48" s="7"/>
      <c r="K48" s="6">
        <v>4</v>
      </c>
      <c r="L48" s="6" t="s">
        <v>171</v>
      </c>
      <c r="M48" s="4" t="s">
        <v>853</v>
      </c>
      <c r="N48" s="4" t="s">
        <v>172</v>
      </c>
      <c r="O48" s="4" t="s">
        <v>865</v>
      </c>
      <c r="P48" s="4" t="s">
        <v>173</v>
      </c>
      <c r="Q48" s="5">
        <v>5</v>
      </c>
    </row>
    <row r="49" spans="1:17" ht="15.75" customHeight="1" x14ac:dyDescent="0.2">
      <c r="A49" s="6" t="s">
        <v>148</v>
      </c>
      <c r="B49" s="6" t="s">
        <v>39</v>
      </c>
      <c r="C49" s="6" t="s">
        <v>872</v>
      </c>
      <c r="D49" s="2" t="s">
        <v>174</v>
      </c>
      <c r="E49" s="7"/>
      <c r="F49" s="7"/>
      <c r="G49" s="6"/>
      <c r="H49" s="6"/>
      <c r="I49" s="16">
        <v>5</v>
      </c>
      <c r="J49" s="7"/>
      <c r="K49" s="6">
        <v>4</v>
      </c>
      <c r="L49" s="6" t="s">
        <v>175</v>
      </c>
      <c r="M49" s="4" t="s">
        <v>853</v>
      </c>
      <c r="N49" s="4" t="s">
        <v>858</v>
      </c>
      <c r="O49" s="4" t="s">
        <v>865</v>
      </c>
      <c r="P49" s="4" t="s">
        <v>176</v>
      </c>
      <c r="Q49" s="5">
        <v>5</v>
      </c>
    </row>
    <row r="50" spans="1:17" ht="15.75" customHeight="1" x14ac:dyDescent="0.2">
      <c r="A50" s="6" t="s">
        <v>177</v>
      </c>
      <c r="B50" s="6" t="s">
        <v>6</v>
      </c>
      <c r="C50" s="6" t="s">
        <v>872</v>
      </c>
      <c r="D50" s="2" t="s">
        <v>178</v>
      </c>
      <c r="E50" s="7"/>
      <c r="F50" s="7"/>
      <c r="G50" s="6"/>
      <c r="H50" s="6"/>
      <c r="I50" s="16">
        <v>3</v>
      </c>
      <c r="J50" s="7" t="s">
        <v>179</v>
      </c>
      <c r="K50" s="6">
        <v>3</v>
      </c>
      <c r="L50" s="6" t="s">
        <v>180</v>
      </c>
      <c r="M50" s="4" t="s">
        <v>853</v>
      </c>
      <c r="N50" s="4" t="s">
        <v>858</v>
      </c>
      <c r="O50" s="4" t="s">
        <v>865</v>
      </c>
      <c r="P50" s="4" t="s">
        <v>870</v>
      </c>
      <c r="Q50" s="5">
        <f>IF((COUNT(E50)+COUNT(G50)+COUNT(I50)+COUNT(K50))=2,
   IF(MIN(E50,G50,I50,K50)=MAX(E50,G50,I50,K50),MIN(E50,G50,I50,K50),"final grade?"),
"final grade?")</f>
        <v>3</v>
      </c>
    </row>
    <row r="51" spans="1:17" ht="15.75" customHeight="1" x14ac:dyDescent="0.2">
      <c r="A51" s="6" t="s">
        <v>177</v>
      </c>
      <c r="B51" s="6" t="s">
        <v>9</v>
      </c>
      <c r="C51" s="6" t="s">
        <v>867</v>
      </c>
      <c r="D51" s="2" t="s">
        <v>181</v>
      </c>
      <c r="E51" s="7"/>
      <c r="F51" s="7"/>
      <c r="G51" s="6">
        <v>3</v>
      </c>
      <c r="H51" s="6" t="s">
        <v>12</v>
      </c>
      <c r="I51" s="16">
        <v>4</v>
      </c>
      <c r="J51" s="7" t="s">
        <v>182</v>
      </c>
      <c r="K51" s="6"/>
      <c r="L51" s="6"/>
      <c r="M51" s="4" t="s">
        <v>853</v>
      </c>
      <c r="N51" s="4" t="s">
        <v>858</v>
      </c>
      <c r="O51" s="4" t="s">
        <v>50</v>
      </c>
      <c r="P51" s="4" t="s">
        <v>870</v>
      </c>
      <c r="Q51" s="5">
        <v>3</v>
      </c>
    </row>
    <row r="52" spans="1:17" ht="15.75" customHeight="1" x14ac:dyDescent="0.2">
      <c r="A52" s="6" t="s">
        <v>177</v>
      </c>
      <c r="B52" s="6" t="s">
        <v>13</v>
      </c>
      <c r="C52" s="6" t="s">
        <v>871</v>
      </c>
      <c r="D52" s="2" t="s">
        <v>183</v>
      </c>
      <c r="E52" s="7">
        <v>3</v>
      </c>
      <c r="F52" s="7" t="s">
        <v>11</v>
      </c>
      <c r="G52" s="6"/>
      <c r="H52" s="6"/>
      <c r="I52" s="7"/>
      <c r="J52" s="7"/>
      <c r="K52" s="6">
        <v>3</v>
      </c>
      <c r="L52" s="6" t="s">
        <v>184</v>
      </c>
      <c r="M52" s="4" t="s">
        <v>853</v>
      </c>
      <c r="N52" s="4" t="s">
        <v>858</v>
      </c>
      <c r="O52" s="4" t="s">
        <v>865</v>
      </c>
      <c r="P52" s="4" t="s">
        <v>870</v>
      </c>
      <c r="Q52" s="5">
        <f>IF((COUNT(E52)+COUNT(G52)+COUNT(I52)+COUNT(K52))=2,
   IF(MIN(E52,G52,I52,K52)=MAX(E52,G52,I52,K52),MIN(E52,G52,I52,K52),"final grade?"),
"final grade?")</f>
        <v>3</v>
      </c>
    </row>
    <row r="53" spans="1:17" ht="15.75" customHeight="1" x14ac:dyDescent="0.2">
      <c r="A53" s="6" t="s">
        <v>177</v>
      </c>
      <c r="B53" s="6" t="s">
        <v>18</v>
      </c>
      <c r="C53" s="6" t="s">
        <v>859</v>
      </c>
      <c r="D53" s="2" t="s">
        <v>185</v>
      </c>
      <c r="E53" s="7">
        <v>2</v>
      </c>
      <c r="F53" s="7" t="s">
        <v>186</v>
      </c>
      <c r="G53" s="6">
        <v>3</v>
      </c>
      <c r="H53" s="6" t="s">
        <v>187</v>
      </c>
      <c r="I53" s="7"/>
      <c r="J53" s="7"/>
      <c r="K53" s="6"/>
      <c r="L53" s="6"/>
      <c r="M53" s="4" t="s">
        <v>50</v>
      </c>
      <c r="N53" s="4" t="s">
        <v>858</v>
      </c>
      <c r="O53" s="4" t="s">
        <v>865</v>
      </c>
      <c r="P53" s="4" t="s">
        <v>870</v>
      </c>
      <c r="Q53" s="5">
        <v>3</v>
      </c>
    </row>
    <row r="54" spans="1:17" ht="15.75" customHeight="1" x14ac:dyDescent="0.2">
      <c r="A54" s="6" t="s">
        <v>177</v>
      </c>
      <c r="B54" s="6" t="s">
        <v>22</v>
      </c>
      <c r="C54" s="6" t="s">
        <v>859</v>
      </c>
      <c r="D54" s="2" t="s">
        <v>188</v>
      </c>
      <c r="E54" s="7">
        <v>2</v>
      </c>
      <c r="F54" s="7" t="s">
        <v>189</v>
      </c>
      <c r="G54" s="6">
        <v>4</v>
      </c>
      <c r="H54" s="6" t="s">
        <v>190</v>
      </c>
      <c r="I54" s="7"/>
      <c r="J54" s="7"/>
      <c r="K54" s="6"/>
      <c r="L54" s="6"/>
      <c r="M54" s="4" t="s">
        <v>191</v>
      </c>
      <c r="N54" s="4" t="s">
        <v>854</v>
      </c>
      <c r="O54" s="4" t="s">
        <v>865</v>
      </c>
      <c r="P54" s="4" t="s">
        <v>870</v>
      </c>
      <c r="Q54" s="5">
        <v>3</v>
      </c>
    </row>
    <row r="55" spans="1:17" ht="15.75" customHeight="1" x14ac:dyDescent="0.2">
      <c r="A55" s="6" t="s">
        <v>177</v>
      </c>
      <c r="B55" s="6" t="s">
        <v>28</v>
      </c>
      <c r="C55" s="6" t="s">
        <v>866</v>
      </c>
      <c r="D55" s="2" t="s">
        <v>192</v>
      </c>
      <c r="E55" s="7">
        <v>3</v>
      </c>
      <c r="F55" s="7" t="s">
        <v>11</v>
      </c>
      <c r="G55" s="6"/>
      <c r="H55" s="6"/>
      <c r="I55" s="16">
        <v>1</v>
      </c>
      <c r="J55" s="7" t="s">
        <v>193</v>
      </c>
      <c r="K55" s="6"/>
      <c r="L55" s="6"/>
      <c r="M55" s="4" t="s">
        <v>194</v>
      </c>
      <c r="N55" s="4" t="s">
        <v>858</v>
      </c>
      <c r="O55" s="4" t="s">
        <v>195</v>
      </c>
      <c r="P55" s="4" t="s">
        <v>870</v>
      </c>
      <c r="Q55" s="5">
        <v>3</v>
      </c>
    </row>
    <row r="56" spans="1:17" ht="15.75" customHeight="1" x14ac:dyDescent="0.2">
      <c r="A56" s="6" t="s">
        <v>177</v>
      </c>
      <c r="B56" s="6" t="s">
        <v>33</v>
      </c>
      <c r="C56" s="6" t="s">
        <v>872</v>
      </c>
      <c r="D56" s="2" t="s">
        <v>196</v>
      </c>
      <c r="E56" s="7"/>
      <c r="F56" s="7"/>
      <c r="G56" s="6"/>
      <c r="H56" s="6"/>
      <c r="I56" s="16">
        <v>1</v>
      </c>
      <c r="J56" s="7" t="s">
        <v>143</v>
      </c>
      <c r="K56" s="6">
        <v>2</v>
      </c>
      <c r="L56" s="6" t="s">
        <v>197</v>
      </c>
      <c r="M56" s="4" t="s">
        <v>853</v>
      </c>
      <c r="N56" s="4" t="s">
        <v>858</v>
      </c>
      <c r="O56" s="4" t="s">
        <v>198</v>
      </c>
      <c r="P56" s="4" t="s">
        <v>199</v>
      </c>
      <c r="Q56" s="5">
        <v>1</v>
      </c>
    </row>
    <row r="57" spans="1:17" ht="15.75" customHeight="1" x14ac:dyDescent="0.2">
      <c r="A57" s="6" t="s">
        <v>177</v>
      </c>
      <c r="B57" s="6" t="s">
        <v>39</v>
      </c>
      <c r="C57" s="6" t="s">
        <v>872</v>
      </c>
      <c r="D57" s="2" t="s">
        <v>200</v>
      </c>
      <c r="E57" s="7"/>
      <c r="F57" s="7"/>
      <c r="G57" s="6"/>
      <c r="H57" s="6"/>
      <c r="I57" s="16">
        <v>1</v>
      </c>
      <c r="J57" s="7" t="s">
        <v>77</v>
      </c>
      <c r="K57" s="6">
        <v>2</v>
      </c>
      <c r="L57" s="6" t="s">
        <v>201</v>
      </c>
      <c r="M57" s="4" t="s">
        <v>853</v>
      </c>
      <c r="N57" s="4" t="s">
        <v>858</v>
      </c>
      <c r="O57" s="4" t="s">
        <v>202</v>
      </c>
      <c r="P57" s="4" t="s">
        <v>203</v>
      </c>
      <c r="Q57" s="5">
        <v>2</v>
      </c>
    </row>
    <row r="58" spans="1:17" ht="15.75" customHeight="1" x14ac:dyDescent="0.2">
      <c r="A58" s="6" t="s">
        <v>204</v>
      </c>
      <c r="B58" s="6" t="s">
        <v>6</v>
      </c>
      <c r="C58" s="6" t="s">
        <v>867</v>
      </c>
      <c r="D58" s="2" t="s">
        <v>205</v>
      </c>
      <c r="E58" s="7"/>
      <c r="F58" s="7"/>
      <c r="G58" s="6">
        <v>3</v>
      </c>
      <c r="H58" s="6" t="s">
        <v>74</v>
      </c>
      <c r="I58" s="16">
        <v>3</v>
      </c>
      <c r="J58" s="7" t="s">
        <v>179</v>
      </c>
      <c r="K58" s="6"/>
      <c r="L58" s="6"/>
      <c r="M58" s="4" t="s">
        <v>853</v>
      </c>
      <c r="N58" s="4" t="s">
        <v>858</v>
      </c>
      <c r="O58" s="4" t="s">
        <v>865</v>
      </c>
      <c r="P58" s="4" t="s">
        <v>870</v>
      </c>
      <c r="Q58" s="5">
        <f>IF((COUNT(E58)+COUNT(G58)+COUNT(I58)+COUNT(K58))=2,
   IF(MIN(E58,G58,I58,K58)=MAX(E58,G58,I58,K58),MIN(E58,G58,I58,K58),"final grade?"),
"final grade?")</f>
        <v>3</v>
      </c>
    </row>
    <row r="59" spans="1:17" ht="15.75" customHeight="1" x14ac:dyDescent="0.2">
      <c r="A59" s="6" t="s">
        <v>204</v>
      </c>
      <c r="B59" s="6" t="s">
        <v>9</v>
      </c>
      <c r="C59" s="6" t="s">
        <v>866</v>
      </c>
      <c r="D59" s="2" t="s">
        <v>206</v>
      </c>
      <c r="E59" s="7">
        <v>5</v>
      </c>
      <c r="F59" s="7"/>
      <c r="G59" s="6"/>
      <c r="H59" s="6"/>
      <c r="I59" s="16">
        <v>4</v>
      </c>
      <c r="J59" s="7" t="s">
        <v>207</v>
      </c>
      <c r="K59" s="6"/>
      <c r="L59" s="6"/>
      <c r="M59" s="4" t="s">
        <v>208</v>
      </c>
      <c r="N59" s="4" t="s">
        <v>858</v>
      </c>
      <c r="O59" s="4" t="s">
        <v>865</v>
      </c>
      <c r="P59" s="4" t="s">
        <v>870</v>
      </c>
      <c r="Q59" s="5">
        <v>4</v>
      </c>
    </row>
    <row r="60" spans="1:17" ht="15.75" customHeight="1" x14ac:dyDescent="0.2">
      <c r="A60" s="6" t="s">
        <v>204</v>
      </c>
      <c r="B60" s="6" t="s">
        <v>13</v>
      </c>
      <c r="C60" s="6" t="s">
        <v>867</v>
      </c>
      <c r="D60" s="2" t="s">
        <v>209</v>
      </c>
      <c r="E60" s="7"/>
      <c r="F60" s="7"/>
      <c r="G60" s="6">
        <v>3</v>
      </c>
      <c r="H60" s="6" t="s">
        <v>74</v>
      </c>
      <c r="I60" s="16">
        <v>4</v>
      </c>
      <c r="J60" s="7" t="s">
        <v>210</v>
      </c>
      <c r="K60" s="6"/>
      <c r="L60" s="6"/>
      <c r="M60" s="4" t="s">
        <v>853</v>
      </c>
      <c r="N60" s="4" t="s">
        <v>858</v>
      </c>
      <c r="O60" s="4" t="s">
        <v>50</v>
      </c>
      <c r="P60" s="4" t="s">
        <v>870</v>
      </c>
      <c r="Q60" s="5">
        <v>3</v>
      </c>
    </row>
    <row r="61" spans="1:17" ht="15.75" customHeight="1" x14ac:dyDescent="0.2">
      <c r="A61" s="6" t="s">
        <v>204</v>
      </c>
      <c r="B61" s="6" t="s">
        <v>18</v>
      </c>
      <c r="C61" s="6" t="s">
        <v>873</v>
      </c>
      <c r="D61" s="2" t="s">
        <v>211</v>
      </c>
      <c r="E61" s="7"/>
      <c r="F61" s="7"/>
      <c r="G61" s="6">
        <v>5</v>
      </c>
      <c r="H61" s="6"/>
      <c r="I61" s="7"/>
      <c r="J61" s="7"/>
      <c r="K61" s="6">
        <v>5</v>
      </c>
      <c r="L61" s="6" t="s">
        <v>212</v>
      </c>
      <c r="M61" s="4" t="s">
        <v>853</v>
      </c>
      <c r="N61" s="4" t="s">
        <v>858</v>
      </c>
      <c r="O61" s="4" t="s">
        <v>865</v>
      </c>
      <c r="P61" s="4" t="s">
        <v>870</v>
      </c>
      <c r="Q61" s="5">
        <f>IF((COUNT(E61)+COUNT(G61)+COUNT(I61)+COUNT(K61))=2,
   IF(MIN(E61,G61,I61,K61)=MAX(E61,G61,I61,K61),MIN(E61,G61,I61,K61),"final grade?"),
"final grade?")</f>
        <v>5</v>
      </c>
    </row>
    <row r="62" spans="1:17" ht="15.75" customHeight="1" x14ac:dyDescent="0.2">
      <c r="A62" s="6" t="s">
        <v>204</v>
      </c>
      <c r="B62" s="6" t="s">
        <v>22</v>
      </c>
      <c r="C62" s="6" t="s">
        <v>872</v>
      </c>
      <c r="D62" s="2" t="s">
        <v>213</v>
      </c>
      <c r="E62" s="7"/>
      <c r="F62" s="7"/>
      <c r="G62" s="6"/>
      <c r="H62" s="6"/>
      <c r="I62" s="16">
        <v>3</v>
      </c>
      <c r="J62" s="7" t="s">
        <v>214</v>
      </c>
      <c r="K62" s="6">
        <v>4</v>
      </c>
      <c r="L62" s="6" t="s">
        <v>215</v>
      </c>
      <c r="M62" s="4" t="s">
        <v>853</v>
      </c>
      <c r="N62" s="4" t="s">
        <v>858</v>
      </c>
      <c r="O62" s="4" t="s">
        <v>865</v>
      </c>
      <c r="P62" s="4" t="s">
        <v>116</v>
      </c>
      <c r="Q62" s="5">
        <v>3</v>
      </c>
    </row>
    <row r="63" spans="1:17" ht="15.75" customHeight="1" x14ac:dyDescent="0.2">
      <c r="A63" s="6" t="s">
        <v>204</v>
      </c>
      <c r="B63" s="6" t="s">
        <v>28</v>
      </c>
      <c r="C63" s="6" t="s">
        <v>872</v>
      </c>
      <c r="D63" s="15" t="s">
        <v>216</v>
      </c>
      <c r="E63" s="7"/>
      <c r="F63" s="7"/>
      <c r="G63" s="6"/>
      <c r="H63" s="6"/>
      <c r="I63" s="16">
        <v>1</v>
      </c>
      <c r="J63" s="7" t="s">
        <v>217</v>
      </c>
      <c r="K63" s="6">
        <v>2</v>
      </c>
      <c r="L63" s="6" t="s">
        <v>218</v>
      </c>
      <c r="M63" s="4" t="s">
        <v>853</v>
      </c>
      <c r="N63" s="4" t="s">
        <v>858</v>
      </c>
      <c r="O63" s="4" t="s">
        <v>865</v>
      </c>
      <c r="P63" s="4" t="s">
        <v>219</v>
      </c>
      <c r="Q63" s="5">
        <v>1</v>
      </c>
    </row>
    <row r="64" spans="1:17" ht="15.75" customHeight="1" x14ac:dyDescent="0.2">
      <c r="A64" s="6" t="s">
        <v>204</v>
      </c>
      <c r="B64" s="6" t="s">
        <v>33</v>
      </c>
      <c r="C64" s="6" t="s">
        <v>866</v>
      </c>
      <c r="D64" s="2" t="s">
        <v>220</v>
      </c>
      <c r="E64" s="7">
        <v>5</v>
      </c>
      <c r="F64" s="7"/>
      <c r="G64" s="6"/>
      <c r="H64" s="6"/>
      <c r="I64" s="16">
        <v>5</v>
      </c>
      <c r="J64" s="7"/>
      <c r="K64" s="6"/>
      <c r="L64" s="6"/>
      <c r="M64" s="4" t="s">
        <v>853</v>
      </c>
      <c r="N64" s="4" t="s">
        <v>858</v>
      </c>
      <c r="O64" s="4" t="s">
        <v>865</v>
      </c>
      <c r="P64" s="4" t="s">
        <v>870</v>
      </c>
      <c r="Q64" s="5">
        <f>IF((COUNT(E64)+COUNT(G64)+COUNT(I64)+COUNT(K64))=2,
   IF(MIN(E64,G64,I64,K64)=MAX(E64,G64,I64,K64),MIN(E64,G64,I64,K64),"final grade?"),
"final grade?")</f>
        <v>5</v>
      </c>
    </row>
    <row r="65" spans="1:17" ht="15.75" customHeight="1" x14ac:dyDescent="0.2">
      <c r="A65" s="6" t="s">
        <v>204</v>
      </c>
      <c r="B65" s="6" t="s">
        <v>39</v>
      </c>
      <c r="C65" s="6" t="s">
        <v>859</v>
      </c>
      <c r="D65" s="2" t="s">
        <v>221</v>
      </c>
      <c r="E65" s="7">
        <v>3</v>
      </c>
      <c r="F65" s="7" t="s">
        <v>222</v>
      </c>
      <c r="G65" s="6">
        <v>4</v>
      </c>
      <c r="H65" s="6" t="s">
        <v>223</v>
      </c>
      <c r="I65" s="7"/>
      <c r="J65" s="7"/>
      <c r="K65" s="6"/>
      <c r="L65" s="6"/>
      <c r="M65" s="4" t="s">
        <v>860</v>
      </c>
      <c r="N65" s="4" t="s">
        <v>50</v>
      </c>
      <c r="O65" s="4" t="s">
        <v>865</v>
      </c>
      <c r="P65" s="4" t="s">
        <v>870</v>
      </c>
      <c r="Q65" s="5">
        <v>3</v>
      </c>
    </row>
    <row r="66" spans="1:17" ht="15.75" customHeight="1" x14ac:dyDescent="0.2">
      <c r="A66" s="6" t="s">
        <v>224</v>
      </c>
      <c r="B66" s="6" t="s">
        <v>6</v>
      </c>
      <c r="C66" s="6" t="s">
        <v>866</v>
      </c>
      <c r="D66" s="2" t="s">
        <v>225</v>
      </c>
      <c r="E66" s="7">
        <v>5</v>
      </c>
      <c r="F66" s="7"/>
      <c r="G66" s="6"/>
      <c r="H66" s="6"/>
      <c r="I66" s="16">
        <v>5</v>
      </c>
      <c r="J66" s="7"/>
      <c r="K66" s="6"/>
      <c r="L66" s="6"/>
      <c r="M66" s="4" t="s">
        <v>853</v>
      </c>
      <c r="N66" s="4" t="s">
        <v>858</v>
      </c>
      <c r="O66" s="4" t="s">
        <v>865</v>
      </c>
      <c r="P66" s="4" t="s">
        <v>870</v>
      </c>
      <c r="Q66" s="5">
        <f t="shared" ref="Q66:Q69" si="5">IF((COUNT(E66)+COUNT(G66)+COUNT(I66)+COUNT(K66))=2,
   IF(MIN(E66,G66,I66,K66)=MAX(E66,G66,I66,K66),MIN(E66,G66,I66,K66),"final grade?"),
"final grade?")</f>
        <v>5</v>
      </c>
    </row>
    <row r="67" spans="1:17" ht="15.75" customHeight="1" x14ac:dyDescent="0.2">
      <c r="A67" s="6" t="s">
        <v>224</v>
      </c>
      <c r="B67" s="6" t="s">
        <v>9</v>
      </c>
      <c r="C67" s="6" t="s">
        <v>873</v>
      </c>
      <c r="D67" s="2" t="s">
        <v>226</v>
      </c>
      <c r="E67" s="7"/>
      <c r="F67" s="7"/>
      <c r="G67" s="6">
        <v>3</v>
      </c>
      <c r="H67" s="6" t="s">
        <v>12</v>
      </c>
      <c r="I67" s="7"/>
      <c r="J67" s="7"/>
      <c r="K67" s="6">
        <v>3</v>
      </c>
      <c r="L67" s="6" t="s">
        <v>227</v>
      </c>
      <c r="M67" s="4" t="s">
        <v>853</v>
      </c>
      <c r="N67" s="4" t="s">
        <v>858</v>
      </c>
      <c r="O67" s="4" t="s">
        <v>865</v>
      </c>
      <c r="P67" s="4" t="s">
        <v>870</v>
      </c>
      <c r="Q67" s="5">
        <f t="shared" si="5"/>
        <v>3</v>
      </c>
    </row>
    <row r="68" spans="1:17" ht="15.75" customHeight="1" x14ac:dyDescent="0.2">
      <c r="A68" s="6" t="s">
        <v>224</v>
      </c>
      <c r="B68" s="6" t="s">
        <v>13</v>
      </c>
      <c r="C68" s="6" t="s">
        <v>859</v>
      </c>
      <c r="D68" s="2" t="s">
        <v>228</v>
      </c>
      <c r="E68" s="7">
        <v>4</v>
      </c>
      <c r="F68" s="7" t="s">
        <v>229</v>
      </c>
      <c r="G68" s="6">
        <v>4</v>
      </c>
      <c r="H68" s="6" t="s">
        <v>230</v>
      </c>
      <c r="I68" s="7"/>
      <c r="J68" s="7"/>
      <c r="K68" s="6"/>
      <c r="L68" s="6"/>
      <c r="M68" s="4" t="s">
        <v>853</v>
      </c>
      <c r="N68" s="4" t="s">
        <v>858</v>
      </c>
      <c r="O68" s="4" t="s">
        <v>865</v>
      </c>
      <c r="P68" s="4" t="s">
        <v>870</v>
      </c>
      <c r="Q68" s="5">
        <f t="shared" si="5"/>
        <v>4</v>
      </c>
    </row>
    <row r="69" spans="1:17" ht="15.75" customHeight="1" x14ac:dyDescent="0.2">
      <c r="A69" s="6" t="s">
        <v>224</v>
      </c>
      <c r="B69" s="6" t="s">
        <v>18</v>
      </c>
      <c r="C69" s="6" t="s">
        <v>867</v>
      </c>
      <c r="D69" s="2" t="s">
        <v>231</v>
      </c>
      <c r="E69" s="7"/>
      <c r="F69" s="7"/>
      <c r="G69" s="6">
        <v>5</v>
      </c>
      <c r="H69" s="6"/>
      <c r="I69" s="16">
        <v>5</v>
      </c>
      <c r="J69" s="7"/>
      <c r="K69" s="6"/>
      <c r="L69" s="6"/>
      <c r="M69" s="4" t="s">
        <v>853</v>
      </c>
      <c r="N69" s="4" t="s">
        <v>858</v>
      </c>
      <c r="O69" s="4" t="s">
        <v>865</v>
      </c>
      <c r="P69" s="4" t="s">
        <v>870</v>
      </c>
      <c r="Q69" s="5">
        <f t="shared" si="5"/>
        <v>5</v>
      </c>
    </row>
    <row r="70" spans="1:17" ht="15.75" customHeight="1" x14ac:dyDescent="0.2">
      <c r="A70" s="6" t="s">
        <v>224</v>
      </c>
      <c r="B70" s="6" t="s">
        <v>22</v>
      </c>
      <c r="C70" s="6" t="s">
        <v>866</v>
      </c>
      <c r="D70" s="2" t="s">
        <v>232</v>
      </c>
      <c r="E70" s="7">
        <v>5</v>
      </c>
      <c r="F70" s="7"/>
      <c r="G70" s="6"/>
      <c r="H70" s="6"/>
      <c r="I70" s="16">
        <v>3</v>
      </c>
      <c r="J70" s="7" t="s">
        <v>233</v>
      </c>
      <c r="K70" s="6"/>
      <c r="L70" s="6"/>
      <c r="M70" s="4" t="s">
        <v>234</v>
      </c>
      <c r="N70" s="4" t="s">
        <v>858</v>
      </c>
      <c r="O70" s="4" t="s">
        <v>235</v>
      </c>
      <c r="P70" s="4" t="s">
        <v>870</v>
      </c>
      <c r="Q70" s="5">
        <v>3</v>
      </c>
    </row>
    <row r="71" spans="1:17" ht="15.75" customHeight="1" x14ac:dyDescent="0.2">
      <c r="A71" s="6" t="s">
        <v>224</v>
      </c>
      <c r="B71" s="6" t="s">
        <v>28</v>
      </c>
      <c r="C71" s="6" t="s">
        <v>866</v>
      </c>
      <c r="D71" s="2" t="s">
        <v>236</v>
      </c>
      <c r="E71" s="7">
        <v>5</v>
      </c>
      <c r="F71" s="7"/>
      <c r="G71" s="6"/>
      <c r="H71" s="6"/>
      <c r="I71" s="16">
        <v>5</v>
      </c>
      <c r="J71" s="7"/>
      <c r="K71" s="6"/>
      <c r="L71" s="6"/>
      <c r="M71" s="4" t="s">
        <v>853</v>
      </c>
      <c r="N71" s="4" t="s">
        <v>858</v>
      </c>
      <c r="O71" s="4" t="s">
        <v>865</v>
      </c>
      <c r="P71" s="4" t="s">
        <v>870</v>
      </c>
      <c r="Q71" s="5">
        <f t="shared" ref="Q71:Q72" si="6">IF((COUNT(E71)+COUNT(G71)+COUNT(I71)+COUNT(K71))=2,
   IF(MIN(E71,G71,I71,K71)=MAX(E71,G71,I71,K71),MIN(E71,G71,I71,K71),"final grade?"),
"final grade?")</f>
        <v>5</v>
      </c>
    </row>
    <row r="72" spans="1:17" ht="15.75" customHeight="1" x14ac:dyDescent="0.2">
      <c r="A72" s="6" t="s">
        <v>224</v>
      </c>
      <c r="B72" s="6" t="s">
        <v>33</v>
      </c>
      <c r="C72" s="6" t="s">
        <v>871</v>
      </c>
      <c r="D72" s="2" t="s">
        <v>237</v>
      </c>
      <c r="E72" s="7">
        <v>5</v>
      </c>
      <c r="F72" s="7"/>
      <c r="G72" s="6"/>
      <c r="H72" s="6"/>
      <c r="I72" s="7"/>
      <c r="J72" s="7"/>
      <c r="K72" s="6">
        <v>5</v>
      </c>
      <c r="L72" s="6"/>
      <c r="M72" s="4" t="s">
        <v>853</v>
      </c>
      <c r="N72" s="4" t="s">
        <v>858</v>
      </c>
      <c r="O72" s="4" t="s">
        <v>865</v>
      </c>
      <c r="P72" s="4" t="s">
        <v>870</v>
      </c>
      <c r="Q72" s="5">
        <f t="shared" si="6"/>
        <v>5</v>
      </c>
    </row>
    <row r="73" spans="1:17" ht="15.75" customHeight="1" x14ac:dyDescent="0.2">
      <c r="A73" s="6" t="s">
        <v>224</v>
      </c>
      <c r="B73" s="6" t="s">
        <v>39</v>
      </c>
      <c r="C73" s="6" t="s">
        <v>871</v>
      </c>
      <c r="D73" s="2" t="s">
        <v>238</v>
      </c>
      <c r="E73" s="7">
        <v>4</v>
      </c>
      <c r="F73" s="7" t="s">
        <v>239</v>
      </c>
      <c r="G73" s="6"/>
      <c r="H73" s="6"/>
      <c r="I73" s="7"/>
      <c r="J73" s="7"/>
      <c r="K73" s="6">
        <v>5</v>
      </c>
      <c r="L73" s="6" t="s">
        <v>240</v>
      </c>
      <c r="M73" s="4" t="s">
        <v>241</v>
      </c>
      <c r="N73" s="4" t="s">
        <v>858</v>
      </c>
      <c r="O73" s="4" t="s">
        <v>865</v>
      </c>
      <c r="P73" s="4" t="s">
        <v>242</v>
      </c>
      <c r="Q73" s="5">
        <v>4</v>
      </c>
    </row>
    <row r="74" spans="1:17" ht="15.75" customHeight="1" x14ac:dyDescent="0.2">
      <c r="A74" s="6" t="s">
        <v>243</v>
      </c>
      <c r="B74" s="6" t="s">
        <v>6</v>
      </c>
      <c r="C74" s="6" t="s">
        <v>867</v>
      </c>
      <c r="D74" s="2" t="s">
        <v>244</v>
      </c>
      <c r="E74" s="7"/>
      <c r="F74" s="7"/>
      <c r="G74" s="6">
        <v>5</v>
      </c>
      <c r="H74" s="6"/>
      <c r="I74" s="16">
        <v>5</v>
      </c>
      <c r="J74" s="7"/>
      <c r="K74" s="6"/>
      <c r="L74" s="6"/>
      <c r="M74" s="4" t="s">
        <v>853</v>
      </c>
      <c r="N74" s="4" t="s">
        <v>858</v>
      </c>
      <c r="O74" s="4" t="s">
        <v>865</v>
      </c>
      <c r="P74" s="4" t="s">
        <v>870</v>
      </c>
      <c r="Q74" s="5">
        <f t="shared" ref="Q74:Q78" si="7">IF((COUNT(E74)+COUNT(G74)+COUNT(I74)+COUNT(K74))=2,
   IF(MIN(E74,G74,I74,K74)=MAX(E74,G74,I74,K74),MIN(E74,G74,I74,K74),"final grade?"),
"final grade?")</f>
        <v>5</v>
      </c>
    </row>
    <row r="75" spans="1:17" ht="15.75" customHeight="1" x14ac:dyDescent="0.2">
      <c r="A75" s="6" t="s">
        <v>243</v>
      </c>
      <c r="B75" s="6" t="s">
        <v>9</v>
      </c>
      <c r="C75" s="6" t="s">
        <v>859</v>
      </c>
      <c r="D75" s="2" t="s">
        <v>245</v>
      </c>
      <c r="E75" s="7">
        <v>3</v>
      </c>
      <c r="F75" s="7" t="s">
        <v>246</v>
      </c>
      <c r="G75" s="6">
        <v>3</v>
      </c>
      <c r="H75" s="6" t="s">
        <v>247</v>
      </c>
      <c r="I75" s="7"/>
      <c r="J75" s="7"/>
      <c r="K75" s="6"/>
      <c r="L75" s="6"/>
      <c r="M75" s="4" t="s">
        <v>853</v>
      </c>
      <c r="N75" s="4" t="s">
        <v>858</v>
      </c>
      <c r="O75" s="4" t="s">
        <v>865</v>
      </c>
      <c r="P75" s="4" t="s">
        <v>870</v>
      </c>
      <c r="Q75" s="5">
        <f t="shared" si="7"/>
        <v>3</v>
      </c>
    </row>
    <row r="76" spans="1:17" ht="15.75" customHeight="1" x14ac:dyDescent="0.2">
      <c r="A76" s="6" t="s">
        <v>243</v>
      </c>
      <c r="B76" s="6" t="s">
        <v>13</v>
      </c>
      <c r="C76" s="6" t="s">
        <v>867</v>
      </c>
      <c r="D76" s="2" t="s">
        <v>248</v>
      </c>
      <c r="E76" s="7"/>
      <c r="F76" s="7"/>
      <c r="G76" s="6">
        <v>4</v>
      </c>
      <c r="H76" s="6" t="s">
        <v>249</v>
      </c>
      <c r="I76" s="16">
        <v>4</v>
      </c>
      <c r="J76" s="7" t="s">
        <v>210</v>
      </c>
      <c r="K76" s="6"/>
      <c r="L76" s="6"/>
      <c r="M76" s="4" t="s">
        <v>853</v>
      </c>
      <c r="N76" s="4" t="s">
        <v>858</v>
      </c>
      <c r="O76" s="4" t="s">
        <v>865</v>
      </c>
      <c r="P76" s="4" t="s">
        <v>870</v>
      </c>
      <c r="Q76" s="5">
        <f t="shared" si="7"/>
        <v>4</v>
      </c>
    </row>
    <row r="77" spans="1:17" ht="15.75" customHeight="1" x14ac:dyDescent="0.2">
      <c r="A77" s="6" t="s">
        <v>243</v>
      </c>
      <c r="B77" s="6" t="s">
        <v>18</v>
      </c>
      <c r="C77" s="6" t="s">
        <v>859</v>
      </c>
      <c r="D77" s="2" t="s">
        <v>250</v>
      </c>
      <c r="E77" s="7">
        <v>3</v>
      </c>
      <c r="F77" s="7" t="s">
        <v>251</v>
      </c>
      <c r="G77" s="6">
        <v>3</v>
      </c>
      <c r="H77" s="6" t="s">
        <v>187</v>
      </c>
      <c r="I77" s="7"/>
      <c r="J77" s="7"/>
      <c r="K77" s="6"/>
      <c r="L77" s="6"/>
      <c r="M77" s="4" t="s">
        <v>853</v>
      </c>
      <c r="N77" s="4" t="s">
        <v>858</v>
      </c>
      <c r="O77" s="4" t="s">
        <v>865</v>
      </c>
      <c r="P77" s="4" t="s">
        <v>870</v>
      </c>
      <c r="Q77" s="5">
        <f t="shared" si="7"/>
        <v>3</v>
      </c>
    </row>
    <row r="78" spans="1:17" ht="15.75" customHeight="1" x14ac:dyDescent="0.2">
      <c r="A78" s="6" t="s">
        <v>243</v>
      </c>
      <c r="B78" s="6" t="s">
        <v>22</v>
      </c>
      <c r="C78" s="6" t="s">
        <v>873</v>
      </c>
      <c r="D78" s="2" t="s">
        <v>252</v>
      </c>
      <c r="E78" s="7"/>
      <c r="F78" s="7"/>
      <c r="G78" s="6">
        <v>5</v>
      </c>
      <c r="H78" s="6"/>
      <c r="I78" s="7"/>
      <c r="J78" s="7"/>
      <c r="K78" s="6">
        <v>5</v>
      </c>
      <c r="L78" s="6" t="s">
        <v>253</v>
      </c>
      <c r="M78" s="4" t="s">
        <v>853</v>
      </c>
      <c r="N78" s="4" t="s">
        <v>858</v>
      </c>
      <c r="O78" s="4" t="s">
        <v>865</v>
      </c>
      <c r="P78" s="4" t="s">
        <v>870</v>
      </c>
      <c r="Q78" s="5">
        <f t="shared" si="7"/>
        <v>5</v>
      </c>
    </row>
    <row r="79" spans="1:17" ht="15.75" customHeight="1" x14ac:dyDescent="0.2">
      <c r="A79" s="6" t="s">
        <v>243</v>
      </c>
      <c r="B79" s="6" t="s">
        <v>28</v>
      </c>
      <c r="C79" s="6" t="s">
        <v>859</v>
      </c>
      <c r="D79" s="2" t="s">
        <v>254</v>
      </c>
      <c r="E79" s="7">
        <v>5</v>
      </c>
      <c r="F79" s="7"/>
      <c r="G79" s="6">
        <v>4</v>
      </c>
      <c r="H79" s="6" t="s">
        <v>255</v>
      </c>
      <c r="I79" s="7"/>
      <c r="J79" s="7"/>
      <c r="K79" s="6"/>
      <c r="L79" s="6"/>
      <c r="M79" s="4" t="s">
        <v>256</v>
      </c>
      <c r="N79" s="4" t="s">
        <v>257</v>
      </c>
      <c r="O79" s="4" t="s">
        <v>865</v>
      </c>
      <c r="P79" s="4" t="s">
        <v>870</v>
      </c>
      <c r="Q79" s="5">
        <v>5</v>
      </c>
    </row>
    <row r="80" spans="1:17" ht="15.75" customHeight="1" x14ac:dyDescent="0.2">
      <c r="A80" s="6" t="s">
        <v>243</v>
      </c>
      <c r="B80" s="6" t="s">
        <v>33</v>
      </c>
      <c r="C80" s="6" t="s">
        <v>871</v>
      </c>
      <c r="D80" s="2" t="s">
        <v>258</v>
      </c>
      <c r="E80" s="7">
        <v>5</v>
      </c>
      <c r="F80" s="7"/>
      <c r="G80" s="6"/>
      <c r="H80" s="6"/>
      <c r="I80" s="7"/>
      <c r="J80" s="7"/>
      <c r="K80" s="6">
        <v>5</v>
      </c>
      <c r="L80" s="6" t="s">
        <v>259</v>
      </c>
      <c r="M80" s="4" t="s">
        <v>853</v>
      </c>
      <c r="N80" s="4" t="s">
        <v>858</v>
      </c>
      <c r="O80" s="4" t="s">
        <v>865</v>
      </c>
      <c r="P80" s="4" t="s">
        <v>870</v>
      </c>
      <c r="Q80" s="5">
        <f>IF((COUNT(E80)+COUNT(G80)+COUNT(I80)+COUNT(K80))=2,
   IF(MIN(E80,G80,I80,K80)=MAX(E80,G80,I80,K80),MIN(E80,G80,I80,K80),"final grade?"),
"final grade?")</f>
        <v>5</v>
      </c>
    </row>
    <row r="81" spans="1:17" ht="15.75" customHeight="1" x14ac:dyDescent="0.2">
      <c r="A81" s="6" t="s">
        <v>243</v>
      </c>
      <c r="B81" s="6" t="s">
        <v>39</v>
      </c>
      <c r="C81" s="6" t="s">
        <v>859</v>
      </c>
      <c r="D81" s="2" t="s">
        <v>260</v>
      </c>
      <c r="E81" s="7">
        <v>3</v>
      </c>
      <c r="F81" s="7" t="s">
        <v>222</v>
      </c>
      <c r="G81" s="6">
        <v>2</v>
      </c>
      <c r="H81" s="6" t="s">
        <v>261</v>
      </c>
      <c r="I81" s="7"/>
      <c r="J81" s="7"/>
      <c r="K81" s="6"/>
      <c r="L81" s="6"/>
      <c r="M81" s="4" t="s">
        <v>853</v>
      </c>
      <c r="N81" s="4" t="s">
        <v>858</v>
      </c>
      <c r="O81" s="4" t="s">
        <v>865</v>
      </c>
      <c r="P81" s="4" t="s">
        <v>262</v>
      </c>
      <c r="Q81" s="5">
        <v>2</v>
      </c>
    </row>
    <row r="82" spans="1:17" ht="15.75" customHeight="1" x14ac:dyDescent="0.2">
      <c r="A82" s="6" t="s">
        <v>263</v>
      </c>
      <c r="B82" s="6" t="s">
        <v>6</v>
      </c>
      <c r="C82" s="6" t="s">
        <v>872</v>
      </c>
      <c r="D82" s="2" t="s">
        <v>264</v>
      </c>
      <c r="E82" s="7"/>
      <c r="F82" s="7"/>
      <c r="G82" s="6"/>
      <c r="H82" s="6"/>
      <c r="I82" s="16">
        <v>5</v>
      </c>
      <c r="J82" s="7"/>
      <c r="K82" s="6">
        <v>5</v>
      </c>
      <c r="L82" s="6" t="s">
        <v>265</v>
      </c>
      <c r="M82" s="4" t="s">
        <v>853</v>
      </c>
      <c r="N82" s="4" t="s">
        <v>858</v>
      </c>
      <c r="O82" s="4" t="s">
        <v>865</v>
      </c>
      <c r="P82" s="4" t="s">
        <v>870</v>
      </c>
      <c r="Q82" s="5">
        <f t="shared" ref="Q82:Q83" si="8">IF((COUNT(E82)+COUNT(G82)+COUNT(I82)+COUNT(K82))=2,
   IF(MIN(E82,G82,I82,K82)=MAX(E82,G82,I82,K82),MIN(E82,G82,I82,K82),"final grade?"),
"final grade?")</f>
        <v>5</v>
      </c>
    </row>
    <row r="83" spans="1:17" ht="15.75" customHeight="1" x14ac:dyDescent="0.2">
      <c r="A83" s="6" t="s">
        <v>263</v>
      </c>
      <c r="B83" s="6" t="s">
        <v>9</v>
      </c>
      <c r="C83" s="6" t="s">
        <v>859</v>
      </c>
      <c r="D83" s="2" t="s">
        <v>266</v>
      </c>
      <c r="E83" s="7">
        <v>3</v>
      </c>
      <c r="F83" s="7" t="s">
        <v>11</v>
      </c>
      <c r="G83" s="6">
        <v>3</v>
      </c>
      <c r="H83" s="6" t="s">
        <v>12</v>
      </c>
      <c r="I83" s="7"/>
      <c r="J83" s="7"/>
      <c r="K83" s="6"/>
      <c r="L83" s="6"/>
      <c r="M83" s="4" t="s">
        <v>853</v>
      </c>
      <c r="N83" s="4" t="s">
        <v>858</v>
      </c>
      <c r="O83" s="4" t="s">
        <v>865</v>
      </c>
      <c r="P83" s="4" t="s">
        <v>870</v>
      </c>
      <c r="Q83" s="5">
        <f t="shared" si="8"/>
        <v>3</v>
      </c>
    </row>
    <row r="84" spans="1:17" ht="15.75" customHeight="1" x14ac:dyDescent="0.2">
      <c r="A84" s="6" t="s">
        <v>263</v>
      </c>
      <c r="B84" s="6" t="s">
        <v>13</v>
      </c>
      <c r="C84" s="6" t="s">
        <v>871</v>
      </c>
      <c r="D84" s="2" t="s">
        <v>267</v>
      </c>
      <c r="E84" s="7">
        <v>3</v>
      </c>
      <c r="F84" s="7" t="s">
        <v>268</v>
      </c>
      <c r="G84" s="6"/>
      <c r="H84" s="6"/>
      <c r="I84" s="7"/>
      <c r="J84" s="7"/>
      <c r="K84" s="6">
        <v>5</v>
      </c>
      <c r="L84" s="6"/>
      <c r="M84" s="4" t="s">
        <v>269</v>
      </c>
      <c r="N84" s="4" t="s">
        <v>858</v>
      </c>
      <c r="O84" s="4" t="s">
        <v>865</v>
      </c>
      <c r="P84" s="4" t="s">
        <v>270</v>
      </c>
      <c r="Q84" s="5">
        <v>4</v>
      </c>
    </row>
    <row r="85" spans="1:17" ht="15.75" customHeight="1" x14ac:dyDescent="0.2">
      <c r="A85" s="6" t="s">
        <v>263</v>
      </c>
      <c r="B85" s="6" t="s">
        <v>18</v>
      </c>
      <c r="C85" s="6" t="s">
        <v>859</v>
      </c>
      <c r="D85" s="2" t="s">
        <v>271</v>
      </c>
      <c r="E85" s="7">
        <v>3</v>
      </c>
      <c r="F85" s="7" t="s">
        <v>251</v>
      </c>
      <c r="G85" s="6">
        <v>3</v>
      </c>
      <c r="H85" s="6" t="s">
        <v>187</v>
      </c>
      <c r="I85" s="7"/>
      <c r="J85" s="7"/>
      <c r="K85" s="6"/>
      <c r="L85" s="6"/>
      <c r="M85" s="4" t="s">
        <v>853</v>
      </c>
      <c r="N85" s="4" t="s">
        <v>858</v>
      </c>
      <c r="O85" s="4" t="s">
        <v>865</v>
      </c>
      <c r="P85" s="4" t="s">
        <v>870</v>
      </c>
      <c r="Q85" s="5">
        <f t="shared" ref="Q85:Q90" si="9">IF((COUNT(E85)+COUNT(G85)+COUNT(I85)+COUNT(K85))=2,
   IF(MIN(E85,G85,I85,K85)=MAX(E85,G85,I85,K85),MIN(E85,G85,I85,K85),"final grade?"),
"final grade?")</f>
        <v>3</v>
      </c>
    </row>
    <row r="86" spans="1:17" ht="15.75" customHeight="1" x14ac:dyDescent="0.2">
      <c r="A86" s="6" t="s">
        <v>263</v>
      </c>
      <c r="B86" s="6" t="s">
        <v>22</v>
      </c>
      <c r="C86" s="6" t="s">
        <v>867</v>
      </c>
      <c r="D86" s="2" t="s">
        <v>272</v>
      </c>
      <c r="E86" s="7"/>
      <c r="F86" s="7"/>
      <c r="G86" s="6">
        <v>5</v>
      </c>
      <c r="H86" s="6"/>
      <c r="I86" s="16">
        <v>5</v>
      </c>
      <c r="J86" s="7"/>
      <c r="K86" s="6"/>
      <c r="L86" s="6"/>
      <c r="M86" s="4" t="s">
        <v>853</v>
      </c>
      <c r="N86" s="4" t="s">
        <v>858</v>
      </c>
      <c r="O86" s="4" t="s">
        <v>865</v>
      </c>
      <c r="P86" s="4" t="s">
        <v>870</v>
      </c>
      <c r="Q86" s="5">
        <f t="shared" si="9"/>
        <v>5</v>
      </c>
    </row>
    <row r="87" spans="1:17" ht="15.75" customHeight="1" x14ac:dyDescent="0.2">
      <c r="A87" s="6" t="s">
        <v>263</v>
      </c>
      <c r="B87" s="6" t="s">
        <v>28</v>
      </c>
      <c r="C87" s="6" t="s">
        <v>866</v>
      </c>
      <c r="D87" s="2" t="s">
        <v>273</v>
      </c>
      <c r="E87" s="7">
        <v>5</v>
      </c>
      <c r="F87" s="7"/>
      <c r="G87" s="6"/>
      <c r="H87" s="6"/>
      <c r="I87" s="16">
        <v>5</v>
      </c>
      <c r="J87" s="7"/>
      <c r="K87" s="6"/>
      <c r="L87" s="6"/>
      <c r="M87" s="4" t="s">
        <v>853</v>
      </c>
      <c r="N87" s="4" t="s">
        <v>858</v>
      </c>
      <c r="O87" s="4" t="s">
        <v>865</v>
      </c>
      <c r="P87" s="4" t="s">
        <v>870</v>
      </c>
      <c r="Q87" s="5">
        <f t="shared" si="9"/>
        <v>5</v>
      </c>
    </row>
    <row r="88" spans="1:17" ht="15.75" customHeight="1" x14ac:dyDescent="0.2">
      <c r="A88" s="6" t="s">
        <v>263</v>
      </c>
      <c r="B88" s="6" t="s">
        <v>33</v>
      </c>
      <c r="C88" s="6" t="s">
        <v>873</v>
      </c>
      <c r="D88" s="2" t="s">
        <v>274</v>
      </c>
      <c r="E88" s="7"/>
      <c r="F88" s="7"/>
      <c r="G88" s="6">
        <v>5</v>
      </c>
      <c r="H88" s="6"/>
      <c r="I88" s="7"/>
      <c r="J88" s="7"/>
      <c r="K88" s="6">
        <v>5</v>
      </c>
      <c r="L88" s="6"/>
      <c r="M88" s="4" t="s">
        <v>853</v>
      </c>
      <c r="N88" s="4" t="s">
        <v>858</v>
      </c>
      <c r="O88" s="4" t="s">
        <v>865</v>
      </c>
      <c r="P88" s="4" t="s">
        <v>870</v>
      </c>
      <c r="Q88" s="5">
        <f t="shared" si="9"/>
        <v>5</v>
      </c>
    </row>
    <row r="89" spans="1:17" ht="15.75" customHeight="1" x14ac:dyDescent="0.2">
      <c r="A89" s="6" t="s">
        <v>263</v>
      </c>
      <c r="B89" s="6" t="s">
        <v>39</v>
      </c>
      <c r="C89" s="6" t="s">
        <v>866</v>
      </c>
      <c r="D89" s="2" t="s">
        <v>275</v>
      </c>
      <c r="E89" s="7">
        <v>5</v>
      </c>
      <c r="F89" s="7"/>
      <c r="G89" s="6"/>
      <c r="H89" s="6"/>
      <c r="I89" s="16">
        <v>5</v>
      </c>
      <c r="J89" s="7"/>
      <c r="K89" s="6"/>
      <c r="L89" s="6"/>
      <c r="M89" s="4" t="s">
        <v>853</v>
      </c>
      <c r="N89" s="4" t="s">
        <v>858</v>
      </c>
      <c r="O89" s="4" t="s">
        <v>865</v>
      </c>
      <c r="P89" s="4" t="s">
        <v>870</v>
      </c>
      <c r="Q89" s="5">
        <f t="shared" si="9"/>
        <v>5</v>
      </c>
    </row>
    <row r="90" spans="1:17" ht="15.75" customHeight="1" x14ac:dyDescent="0.2">
      <c r="A90" s="6" t="s">
        <v>276</v>
      </c>
      <c r="B90" s="6" t="s">
        <v>6</v>
      </c>
      <c r="C90" s="6" t="s">
        <v>866</v>
      </c>
      <c r="D90" s="2" t="s">
        <v>277</v>
      </c>
      <c r="E90" s="7">
        <v>4</v>
      </c>
      <c r="F90" s="7" t="s">
        <v>278</v>
      </c>
      <c r="G90" s="6"/>
      <c r="H90" s="6"/>
      <c r="I90" s="16">
        <v>4</v>
      </c>
      <c r="J90" s="7" t="s">
        <v>279</v>
      </c>
      <c r="K90" s="6"/>
      <c r="L90" s="6"/>
      <c r="M90" s="4" t="s">
        <v>853</v>
      </c>
      <c r="N90" s="4" t="s">
        <v>858</v>
      </c>
      <c r="O90" s="4" t="s">
        <v>865</v>
      </c>
      <c r="P90" s="4" t="s">
        <v>870</v>
      </c>
      <c r="Q90" s="5">
        <f t="shared" si="9"/>
        <v>4</v>
      </c>
    </row>
    <row r="91" spans="1:17" ht="15.75" customHeight="1" x14ac:dyDescent="0.2">
      <c r="A91" s="6" t="s">
        <v>276</v>
      </c>
      <c r="B91" s="6" t="s">
        <v>9</v>
      </c>
      <c r="C91" s="6" t="s">
        <v>867</v>
      </c>
      <c r="D91" s="2" t="s">
        <v>280</v>
      </c>
      <c r="E91" s="7"/>
      <c r="F91" s="7"/>
      <c r="G91" s="6">
        <v>3</v>
      </c>
      <c r="H91" s="6" t="s">
        <v>12</v>
      </c>
      <c r="I91" s="16">
        <v>4</v>
      </c>
      <c r="J91" s="7" t="s">
        <v>281</v>
      </c>
      <c r="K91" s="6"/>
      <c r="L91" s="6"/>
      <c r="M91" s="4" t="s">
        <v>853</v>
      </c>
      <c r="N91" s="4" t="s">
        <v>858</v>
      </c>
      <c r="O91" s="4" t="s">
        <v>50</v>
      </c>
      <c r="P91" s="4" t="s">
        <v>870</v>
      </c>
      <c r="Q91" s="5">
        <v>3</v>
      </c>
    </row>
    <row r="92" spans="1:17" ht="15.75" customHeight="1" x14ac:dyDescent="0.2">
      <c r="A92" s="6" t="s">
        <v>276</v>
      </c>
      <c r="B92" s="6" t="s">
        <v>13</v>
      </c>
      <c r="C92" s="6" t="s">
        <v>872</v>
      </c>
      <c r="D92" s="2" t="s">
        <v>282</v>
      </c>
      <c r="E92" s="7"/>
      <c r="F92" s="7"/>
      <c r="G92" s="6"/>
      <c r="H92" s="6"/>
      <c r="I92" s="16">
        <v>5</v>
      </c>
      <c r="J92" s="7"/>
      <c r="K92" s="6">
        <v>5</v>
      </c>
      <c r="L92" s="6"/>
      <c r="M92" s="4" t="s">
        <v>853</v>
      </c>
      <c r="N92" s="4" t="s">
        <v>858</v>
      </c>
      <c r="O92" s="4" t="s">
        <v>865</v>
      </c>
      <c r="P92" s="4" t="s">
        <v>870</v>
      </c>
      <c r="Q92" s="5">
        <f t="shared" ref="Q92:Q93" si="10">IF((COUNT(E92)+COUNT(G92)+COUNT(I92)+COUNT(K92))=2,
   IF(MIN(E92,G92,I92,K92)=MAX(E92,G92,I92,K92),MIN(E92,G92,I92,K92),"final grade?"),
"final grade?")</f>
        <v>5</v>
      </c>
    </row>
    <row r="93" spans="1:17" ht="15.75" customHeight="1" x14ac:dyDescent="0.2">
      <c r="A93" s="6" t="s">
        <v>276</v>
      </c>
      <c r="B93" s="6" t="s">
        <v>18</v>
      </c>
      <c r="C93" s="6" t="s">
        <v>867</v>
      </c>
      <c r="D93" s="2" t="s">
        <v>283</v>
      </c>
      <c r="E93" s="7"/>
      <c r="F93" s="7"/>
      <c r="G93" s="6">
        <v>3</v>
      </c>
      <c r="H93" s="6" t="s">
        <v>187</v>
      </c>
      <c r="I93" s="16">
        <v>3</v>
      </c>
      <c r="J93" s="7" t="s">
        <v>284</v>
      </c>
      <c r="K93" s="6"/>
      <c r="L93" s="6"/>
      <c r="M93" s="4" t="s">
        <v>853</v>
      </c>
      <c r="N93" s="4" t="s">
        <v>858</v>
      </c>
      <c r="O93" s="4" t="s">
        <v>865</v>
      </c>
      <c r="P93" s="4" t="s">
        <v>870</v>
      </c>
      <c r="Q93" s="5">
        <f t="shared" si="10"/>
        <v>3</v>
      </c>
    </row>
    <row r="94" spans="1:17" ht="15.75" customHeight="1" x14ac:dyDescent="0.2">
      <c r="A94" s="6" t="s">
        <v>276</v>
      </c>
      <c r="B94" s="6" t="s">
        <v>22</v>
      </c>
      <c r="C94" s="6" t="s">
        <v>873</v>
      </c>
      <c r="D94" s="2" t="s">
        <v>285</v>
      </c>
      <c r="E94" s="7"/>
      <c r="F94" s="7"/>
      <c r="G94" s="6">
        <v>4</v>
      </c>
      <c r="H94" s="6" t="s">
        <v>62</v>
      </c>
      <c r="I94" s="7"/>
      <c r="J94" s="7"/>
      <c r="K94" s="6">
        <v>5</v>
      </c>
      <c r="L94" s="6"/>
      <c r="M94" s="4" t="s">
        <v>853</v>
      </c>
      <c r="N94" s="4" t="s">
        <v>286</v>
      </c>
      <c r="O94" s="4" t="s">
        <v>865</v>
      </c>
      <c r="P94" s="4" t="s">
        <v>287</v>
      </c>
      <c r="Q94" s="5">
        <v>4</v>
      </c>
    </row>
    <row r="95" spans="1:17" ht="15.75" customHeight="1" x14ac:dyDescent="0.2">
      <c r="A95" s="6" t="s">
        <v>276</v>
      </c>
      <c r="B95" s="6" t="s">
        <v>28</v>
      </c>
      <c r="C95" s="6" t="s">
        <v>873</v>
      </c>
      <c r="D95" s="15" t="s">
        <v>288</v>
      </c>
      <c r="E95" s="7"/>
      <c r="F95" s="7"/>
      <c r="G95" s="6">
        <v>2</v>
      </c>
      <c r="H95" s="6"/>
      <c r="I95" s="7"/>
      <c r="J95" s="7"/>
      <c r="K95" s="6">
        <v>4</v>
      </c>
      <c r="L95" s="6" t="s">
        <v>289</v>
      </c>
      <c r="M95" s="4" t="s">
        <v>853</v>
      </c>
      <c r="N95" s="4" t="s">
        <v>290</v>
      </c>
      <c r="O95" s="4" t="s">
        <v>865</v>
      </c>
      <c r="P95" s="4" t="s">
        <v>291</v>
      </c>
      <c r="Q95" s="5">
        <v>2</v>
      </c>
    </row>
    <row r="96" spans="1:17" ht="15.75" customHeight="1" x14ac:dyDescent="0.2">
      <c r="A96" s="6" t="s">
        <v>276</v>
      </c>
      <c r="B96" s="6" t="s">
        <v>33</v>
      </c>
      <c r="C96" s="6" t="s">
        <v>859</v>
      </c>
      <c r="D96" s="2" t="s">
        <v>292</v>
      </c>
      <c r="E96" s="7">
        <v>5</v>
      </c>
      <c r="F96" s="7"/>
      <c r="G96" s="6">
        <v>4</v>
      </c>
      <c r="H96" s="6" t="s">
        <v>293</v>
      </c>
      <c r="I96" s="7"/>
      <c r="J96" s="7"/>
      <c r="K96" s="6"/>
      <c r="L96" s="6"/>
      <c r="M96" s="4" t="s">
        <v>234</v>
      </c>
      <c r="N96" s="4" t="s">
        <v>858</v>
      </c>
      <c r="O96" s="4" t="s">
        <v>865</v>
      </c>
      <c r="P96" s="4" t="s">
        <v>870</v>
      </c>
      <c r="Q96" s="5">
        <v>4</v>
      </c>
    </row>
    <row r="97" spans="1:17" ht="15.75" customHeight="1" x14ac:dyDescent="0.2">
      <c r="A97" s="6" t="s">
        <v>276</v>
      </c>
      <c r="B97" s="6" t="s">
        <v>39</v>
      </c>
      <c r="C97" s="6" t="s">
        <v>859</v>
      </c>
      <c r="D97" s="2" t="s">
        <v>294</v>
      </c>
      <c r="E97" s="7">
        <v>4</v>
      </c>
      <c r="F97" s="7" t="s">
        <v>295</v>
      </c>
      <c r="G97" s="6">
        <v>3</v>
      </c>
      <c r="H97" s="6" t="s">
        <v>296</v>
      </c>
      <c r="I97" s="7"/>
      <c r="J97" s="7"/>
      <c r="K97" s="6"/>
      <c r="L97" s="6"/>
      <c r="M97" s="10" t="s">
        <v>861</v>
      </c>
      <c r="N97" s="4" t="s">
        <v>297</v>
      </c>
      <c r="O97" s="4" t="s">
        <v>865</v>
      </c>
      <c r="P97" s="4" t="s">
        <v>870</v>
      </c>
      <c r="Q97" s="5">
        <v>4</v>
      </c>
    </row>
    <row r="98" spans="1:17" ht="15.75" customHeight="1" x14ac:dyDescent="0.2">
      <c r="A98" s="6" t="s">
        <v>298</v>
      </c>
      <c r="B98" s="6" t="s">
        <v>6</v>
      </c>
      <c r="C98" s="6" t="s">
        <v>867</v>
      </c>
      <c r="D98" s="2" t="s">
        <v>299</v>
      </c>
      <c r="E98" s="7"/>
      <c r="F98" s="7"/>
      <c r="G98" s="6">
        <v>5</v>
      </c>
      <c r="H98" s="6"/>
      <c r="I98" s="16">
        <v>4</v>
      </c>
      <c r="J98" s="7" t="s">
        <v>100</v>
      </c>
      <c r="K98" s="6"/>
      <c r="L98" s="6"/>
      <c r="M98" s="4" t="s">
        <v>853</v>
      </c>
      <c r="N98" s="4" t="s">
        <v>858</v>
      </c>
      <c r="O98" s="4" t="s">
        <v>300</v>
      </c>
      <c r="P98" s="4" t="s">
        <v>870</v>
      </c>
      <c r="Q98" s="5">
        <v>5</v>
      </c>
    </row>
    <row r="99" spans="1:17" ht="15.75" customHeight="1" x14ac:dyDescent="0.2">
      <c r="A99" s="6" t="s">
        <v>298</v>
      </c>
      <c r="B99" s="6" t="s">
        <v>9</v>
      </c>
      <c r="C99" s="6" t="s">
        <v>867</v>
      </c>
      <c r="D99" s="2" t="s">
        <v>301</v>
      </c>
      <c r="E99" s="7"/>
      <c r="F99" s="7"/>
      <c r="G99" s="6">
        <v>5</v>
      </c>
      <c r="H99" s="6"/>
      <c r="I99" s="16">
        <v>5</v>
      </c>
      <c r="J99" s="7"/>
      <c r="K99" s="6"/>
      <c r="L99" s="6"/>
      <c r="M99" s="4" t="s">
        <v>853</v>
      </c>
      <c r="N99" s="4" t="s">
        <v>858</v>
      </c>
      <c r="O99" s="4" t="s">
        <v>865</v>
      </c>
      <c r="P99" s="4" t="s">
        <v>870</v>
      </c>
      <c r="Q99" s="5">
        <f>IF((COUNT(E99)+COUNT(G99)+COUNT(I99)+COUNT(K99))=2,
   IF(MIN(E99,G99,I99,K99)=MAX(E99,G99,I99,K99),MIN(E99,G99,I99,K99),"final grade?"),
"final grade?")</f>
        <v>5</v>
      </c>
    </row>
    <row r="100" spans="1:17" ht="15.75" customHeight="1" x14ac:dyDescent="0.2">
      <c r="A100" s="6" t="s">
        <v>298</v>
      </c>
      <c r="B100" s="6" t="s">
        <v>13</v>
      </c>
      <c r="C100" s="6" t="s">
        <v>873</v>
      </c>
      <c r="D100" s="2" t="s">
        <v>302</v>
      </c>
      <c r="E100" s="7"/>
      <c r="F100" s="7"/>
      <c r="G100" s="6">
        <v>5</v>
      </c>
      <c r="H100" s="6"/>
      <c r="I100" s="7"/>
      <c r="J100" s="7"/>
      <c r="K100" s="6">
        <v>3</v>
      </c>
      <c r="L100" s="6" t="s">
        <v>303</v>
      </c>
      <c r="M100" s="4" t="s">
        <v>853</v>
      </c>
      <c r="N100" s="4" t="s">
        <v>874</v>
      </c>
      <c r="O100" s="4" t="s">
        <v>865</v>
      </c>
      <c r="P100" s="4" t="s">
        <v>304</v>
      </c>
      <c r="Q100" s="17">
        <v>3</v>
      </c>
    </row>
    <row r="101" spans="1:17" ht="15.75" customHeight="1" x14ac:dyDescent="0.2">
      <c r="A101" s="6" t="s">
        <v>298</v>
      </c>
      <c r="B101" s="6" t="s">
        <v>18</v>
      </c>
      <c r="C101" s="6" t="s">
        <v>871</v>
      </c>
      <c r="D101" s="2" t="s">
        <v>305</v>
      </c>
      <c r="E101" s="7">
        <v>3</v>
      </c>
      <c r="F101" s="7" t="s">
        <v>251</v>
      </c>
      <c r="G101" s="6"/>
      <c r="H101" s="6"/>
      <c r="I101" s="7"/>
      <c r="J101" s="7"/>
      <c r="K101" s="6">
        <v>3</v>
      </c>
      <c r="L101" s="6" t="s">
        <v>306</v>
      </c>
      <c r="M101" s="4" t="s">
        <v>853</v>
      </c>
      <c r="N101" s="4" t="s">
        <v>858</v>
      </c>
      <c r="O101" s="4" t="s">
        <v>865</v>
      </c>
      <c r="P101" s="4" t="s">
        <v>870</v>
      </c>
      <c r="Q101" s="5">
        <f>IF((COUNT(E101)+COUNT(G101)+COUNT(I101)+COUNT(K101))=2,
   IF(MIN(E101,G101,I101,K101)=MAX(E101,G101,I101,K101),MIN(E101,G101,I101,K101),"final grade?"),
"final grade?")</f>
        <v>3</v>
      </c>
    </row>
    <row r="102" spans="1:17" ht="15.75" customHeight="1" x14ac:dyDescent="0.2">
      <c r="A102" s="6" t="s">
        <v>298</v>
      </c>
      <c r="B102" s="6" t="s">
        <v>22</v>
      </c>
      <c r="C102" s="6" t="s">
        <v>859</v>
      </c>
      <c r="D102" s="2" t="s">
        <v>307</v>
      </c>
      <c r="E102" s="7">
        <v>2</v>
      </c>
      <c r="F102" s="7" t="s">
        <v>189</v>
      </c>
      <c r="G102" s="6">
        <v>3</v>
      </c>
      <c r="H102" s="6" t="s">
        <v>161</v>
      </c>
      <c r="I102" s="7"/>
      <c r="J102" s="7"/>
      <c r="K102" s="6"/>
      <c r="L102" s="6"/>
      <c r="M102" s="4" t="s">
        <v>50</v>
      </c>
      <c r="N102" s="4" t="s">
        <v>858</v>
      </c>
      <c r="O102" s="4" t="s">
        <v>865</v>
      </c>
      <c r="P102" s="4" t="s">
        <v>870</v>
      </c>
      <c r="Q102" s="5">
        <v>3</v>
      </c>
    </row>
    <row r="103" spans="1:17" ht="15.75" customHeight="1" x14ac:dyDescent="0.2">
      <c r="A103" s="6" t="s">
        <v>298</v>
      </c>
      <c r="B103" s="6" t="s">
        <v>28</v>
      </c>
      <c r="C103" s="6" t="s">
        <v>867</v>
      </c>
      <c r="D103" s="2" t="s">
        <v>308</v>
      </c>
      <c r="E103" s="7"/>
      <c r="F103" s="7"/>
      <c r="G103" s="6">
        <v>5</v>
      </c>
      <c r="H103" s="6"/>
      <c r="I103" s="16">
        <v>5</v>
      </c>
      <c r="J103" s="7"/>
      <c r="K103" s="6"/>
      <c r="L103" s="6"/>
      <c r="M103" s="4" t="s">
        <v>853</v>
      </c>
      <c r="N103" s="4" t="s">
        <v>858</v>
      </c>
      <c r="O103" s="4" t="s">
        <v>865</v>
      </c>
      <c r="P103" s="4" t="s">
        <v>870</v>
      </c>
      <c r="Q103" s="5">
        <f>IF((COUNT(E103)+COUNT(G103)+COUNT(I103)+COUNT(K103))=2,
   IF(MIN(E103,G103,I103,K103)=MAX(E103,G103,I103,K103),MIN(E103,G103,I103,K103),"final grade?"),
"final grade?")</f>
        <v>5</v>
      </c>
    </row>
    <row r="104" spans="1:17" ht="15.75" customHeight="1" x14ac:dyDescent="0.2">
      <c r="A104" s="6" t="s">
        <v>298</v>
      </c>
      <c r="B104" s="6" t="s">
        <v>33</v>
      </c>
      <c r="C104" s="6" t="s">
        <v>873</v>
      </c>
      <c r="D104" s="15" t="s">
        <v>309</v>
      </c>
      <c r="E104" s="7"/>
      <c r="F104" s="7"/>
      <c r="G104" s="6">
        <v>5</v>
      </c>
      <c r="H104" s="6"/>
      <c r="I104" s="7"/>
      <c r="J104" s="7"/>
      <c r="K104" s="6">
        <v>4</v>
      </c>
      <c r="L104" s="6" t="s">
        <v>310</v>
      </c>
      <c r="M104" s="4" t="s">
        <v>853</v>
      </c>
      <c r="N104" s="4" t="s">
        <v>311</v>
      </c>
      <c r="O104" s="4" t="s">
        <v>865</v>
      </c>
      <c r="P104" s="4" t="s">
        <v>173</v>
      </c>
      <c r="Q104" s="5">
        <v>5</v>
      </c>
    </row>
    <row r="105" spans="1:17" ht="15.75" customHeight="1" x14ac:dyDescent="0.2">
      <c r="A105" s="6" t="s">
        <v>298</v>
      </c>
      <c r="B105" s="6" t="s">
        <v>39</v>
      </c>
      <c r="C105" s="6" t="s">
        <v>872</v>
      </c>
      <c r="D105" s="2" t="s">
        <v>312</v>
      </c>
      <c r="E105" s="7"/>
      <c r="F105" s="7"/>
      <c r="G105" s="6"/>
      <c r="H105" s="6"/>
      <c r="I105" s="16">
        <v>3</v>
      </c>
      <c r="J105" s="7" t="s">
        <v>313</v>
      </c>
      <c r="K105" s="6">
        <v>5</v>
      </c>
      <c r="L105" s="6"/>
      <c r="M105" s="4" t="s">
        <v>853</v>
      </c>
      <c r="N105" s="4" t="s">
        <v>858</v>
      </c>
      <c r="O105" s="4" t="s">
        <v>314</v>
      </c>
      <c r="P105" s="4" t="s">
        <v>870</v>
      </c>
      <c r="Q105" s="5">
        <v>5</v>
      </c>
    </row>
    <row r="106" spans="1:17" ht="15.75" customHeight="1" x14ac:dyDescent="0.2">
      <c r="A106" s="6" t="s">
        <v>315</v>
      </c>
      <c r="B106" s="6" t="s">
        <v>6</v>
      </c>
      <c r="C106" s="6" t="s">
        <v>872</v>
      </c>
      <c r="D106" s="2" t="s">
        <v>316</v>
      </c>
      <c r="E106" s="7"/>
      <c r="F106" s="7"/>
      <c r="G106" s="6"/>
      <c r="H106" s="6"/>
      <c r="I106" s="16">
        <v>3</v>
      </c>
      <c r="J106" s="7" t="s">
        <v>317</v>
      </c>
      <c r="K106" s="6">
        <v>5</v>
      </c>
      <c r="L106" s="6" t="s">
        <v>318</v>
      </c>
      <c r="M106" s="4" t="s">
        <v>853</v>
      </c>
      <c r="N106" s="4" t="s">
        <v>858</v>
      </c>
      <c r="O106" s="4" t="s">
        <v>257</v>
      </c>
      <c r="P106" s="4" t="s">
        <v>855</v>
      </c>
      <c r="Q106" s="5">
        <v>5</v>
      </c>
    </row>
    <row r="107" spans="1:17" ht="15.75" customHeight="1" x14ac:dyDescent="0.2">
      <c r="A107" s="6" t="s">
        <v>315</v>
      </c>
      <c r="B107" s="6" t="s">
        <v>9</v>
      </c>
      <c r="C107" s="6" t="s">
        <v>866</v>
      </c>
      <c r="D107" s="2" t="s">
        <v>319</v>
      </c>
      <c r="E107" s="7">
        <v>5</v>
      </c>
      <c r="F107" s="7"/>
      <c r="G107" s="6"/>
      <c r="H107" s="6"/>
      <c r="I107" s="16">
        <v>5</v>
      </c>
      <c r="J107" s="7"/>
      <c r="K107" s="6"/>
      <c r="L107" s="6"/>
      <c r="M107" s="4" t="s">
        <v>853</v>
      </c>
      <c r="N107" s="4" t="s">
        <v>858</v>
      </c>
      <c r="O107" s="4" t="s">
        <v>865</v>
      </c>
      <c r="P107" s="4" t="s">
        <v>870</v>
      </c>
      <c r="Q107" s="5">
        <f>IF((COUNT(E107)+COUNT(G107)+COUNT(I107)+COUNT(K107))=2,
   IF(MIN(E107,G107,I107,K107)=MAX(E107,G107,I107,K107),MIN(E107,G107,I107,K107),"final grade?"),
"final grade?")</f>
        <v>5</v>
      </c>
    </row>
    <row r="108" spans="1:17" ht="15.75" customHeight="1" x14ac:dyDescent="0.2">
      <c r="A108" s="6" t="s">
        <v>315</v>
      </c>
      <c r="B108" s="6" t="s">
        <v>13</v>
      </c>
      <c r="C108" s="6" t="s">
        <v>859</v>
      </c>
      <c r="D108" s="2" t="s">
        <v>320</v>
      </c>
      <c r="E108" s="7">
        <v>1</v>
      </c>
      <c r="F108" s="7"/>
      <c r="G108" s="6">
        <v>2</v>
      </c>
      <c r="H108" s="6"/>
      <c r="I108" s="7"/>
      <c r="J108" s="7"/>
      <c r="K108" s="6"/>
      <c r="L108" s="6"/>
      <c r="M108" s="4" t="s">
        <v>321</v>
      </c>
      <c r="N108" s="4" t="s">
        <v>858</v>
      </c>
      <c r="O108" s="4" t="s">
        <v>865</v>
      </c>
      <c r="P108" s="4" t="s">
        <v>870</v>
      </c>
      <c r="Q108" s="5">
        <v>2</v>
      </c>
    </row>
    <row r="109" spans="1:17" ht="15.75" customHeight="1" x14ac:dyDescent="0.2">
      <c r="A109" s="6" t="s">
        <v>315</v>
      </c>
      <c r="B109" s="6" t="s">
        <v>18</v>
      </c>
      <c r="C109" s="6" t="s">
        <v>866</v>
      </c>
      <c r="D109" s="2" t="s">
        <v>322</v>
      </c>
      <c r="E109" s="7">
        <v>1</v>
      </c>
      <c r="F109" s="7"/>
      <c r="G109" s="6"/>
      <c r="H109" s="6"/>
      <c r="I109" s="16">
        <v>1</v>
      </c>
      <c r="J109" s="7" t="s">
        <v>77</v>
      </c>
      <c r="K109" s="6"/>
      <c r="L109" s="6"/>
      <c r="M109" s="4" t="s">
        <v>853</v>
      </c>
      <c r="N109" s="4" t="s">
        <v>858</v>
      </c>
      <c r="O109" s="4" t="s">
        <v>865</v>
      </c>
      <c r="P109" s="4" t="s">
        <v>870</v>
      </c>
      <c r="Q109" s="5">
        <f>IF((COUNT(E109)+COUNT(G109)+COUNT(I109)+COUNT(K109))=2,
   IF(MIN(E109,G109,I109,K109)=MAX(E109,G109,I109,K109),MIN(E109,G109,I109,K109),"final grade?"),
"final grade?")</f>
        <v>1</v>
      </c>
    </row>
    <row r="110" spans="1:17" ht="15.75" customHeight="1" x14ac:dyDescent="0.2">
      <c r="A110" s="6" t="s">
        <v>315</v>
      </c>
      <c r="B110" s="6" t="s">
        <v>22</v>
      </c>
      <c r="C110" s="6" t="s">
        <v>866</v>
      </c>
      <c r="D110" s="2" t="s">
        <v>323</v>
      </c>
      <c r="E110" s="7">
        <v>3</v>
      </c>
      <c r="F110" s="7" t="s">
        <v>324</v>
      </c>
      <c r="G110" s="6"/>
      <c r="H110" s="6"/>
      <c r="I110" s="16">
        <v>2</v>
      </c>
      <c r="J110" s="7" t="s">
        <v>325</v>
      </c>
      <c r="K110" s="6"/>
      <c r="L110" s="6"/>
      <c r="M110" s="4" t="s">
        <v>68</v>
      </c>
      <c r="N110" s="4" t="s">
        <v>858</v>
      </c>
      <c r="O110" s="4" t="s">
        <v>865</v>
      </c>
      <c r="P110" s="4" t="s">
        <v>870</v>
      </c>
      <c r="Q110" s="5">
        <v>2</v>
      </c>
    </row>
    <row r="111" spans="1:17" ht="15.75" customHeight="1" x14ac:dyDescent="0.2">
      <c r="A111" s="6" t="s">
        <v>315</v>
      </c>
      <c r="B111" s="6" t="s">
        <v>28</v>
      </c>
      <c r="C111" s="6" t="s">
        <v>871</v>
      </c>
      <c r="D111" s="15" t="s">
        <v>326</v>
      </c>
      <c r="E111" s="7">
        <v>5</v>
      </c>
      <c r="F111" s="7"/>
      <c r="G111" s="6"/>
      <c r="H111" s="6"/>
      <c r="I111" s="7"/>
      <c r="J111" s="7"/>
      <c r="K111" s="6">
        <v>3</v>
      </c>
      <c r="L111" s="6" t="s">
        <v>327</v>
      </c>
      <c r="M111" s="4" t="s">
        <v>328</v>
      </c>
      <c r="N111" s="4" t="s">
        <v>858</v>
      </c>
      <c r="O111" s="4" t="s">
        <v>865</v>
      </c>
      <c r="P111" s="4" t="s">
        <v>329</v>
      </c>
      <c r="Q111" s="5">
        <v>4</v>
      </c>
    </row>
    <row r="112" spans="1:17" ht="15.75" customHeight="1" x14ac:dyDescent="0.2">
      <c r="A112" s="6" t="s">
        <v>315</v>
      </c>
      <c r="B112" s="6" t="s">
        <v>33</v>
      </c>
      <c r="C112" s="6" t="s">
        <v>867</v>
      </c>
      <c r="D112" s="2" t="s">
        <v>330</v>
      </c>
      <c r="E112" s="7"/>
      <c r="F112" s="7"/>
      <c r="G112" s="6">
        <v>4</v>
      </c>
      <c r="H112" s="6" t="s">
        <v>331</v>
      </c>
      <c r="I112" s="16">
        <v>5</v>
      </c>
      <c r="J112" s="7"/>
      <c r="K112" s="6"/>
      <c r="L112" s="6"/>
      <c r="M112" s="4" t="s">
        <v>853</v>
      </c>
      <c r="N112" s="4" t="s">
        <v>858</v>
      </c>
      <c r="O112" s="4" t="s">
        <v>297</v>
      </c>
      <c r="P112" s="4" t="s">
        <v>870</v>
      </c>
      <c r="Q112" s="5">
        <v>4</v>
      </c>
    </row>
    <row r="113" spans="1:17" ht="15.75" customHeight="1" x14ac:dyDescent="0.2">
      <c r="A113" s="6" t="s">
        <v>315</v>
      </c>
      <c r="B113" s="6" t="s">
        <v>39</v>
      </c>
      <c r="C113" s="6" t="s">
        <v>866</v>
      </c>
      <c r="D113" s="2" t="s">
        <v>332</v>
      </c>
      <c r="E113" s="7">
        <v>2</v>
      </c>
      <c r="F113" s="7" t="s">
        <v>333</v>
      </c>
      <c r="G113" s="6"/>
      <c r="H113" s="6"/>
      <c r="I113" s="16">
        <v>1</v>
      </c>
      <c r="J113" s="7" t="s">
        <v>334</v>
      </c>
      <c r="K113" s="6"/>
      <c r="L113" s="6"/>
      <c r="M113" s="4" t="s">
        <v>335</v>
      </c>
      <c r="N113" s="4" t="s">
        <v>858</v>
      </c>
      <c r="O113" s="4" t="s">
        <v>865</v>
      </c>
      <c r="P113" s="4" t="s">
        <v>870</v>
      </c>
      <c r="Q113" s="5">
        <v>1</v>
      </c>
    </row>
    <row r="114" spans="1:17" ht="15.75" customHeight="1" x14ac:dyDescent="0.2">
      <c r="A114" s="6" t="s">
        <v>336</v>
      </c>
      <c r="B114" s="6" t="s">
        <v>6</v>
      </c>
      <c r="C114" s="6" t="s">
        <v>873</v>
      </c>
      <c r="D114" s="2" t="s">
        <v>337</v>
      </c>
      <c r="E114" s="7"/>
      <c r="F114" s="7"/>
      <c r="G114" s="6">
        <v>5</v>
      </c>
      <c r="H114" s="6"/>
      <c r="I114" s="7"/>
      <c r="J114" s="7"/>
      <c r="K114" s="6">
        <v>5</v>
      </c>
      <c r="L114" s="6" t="s">
        <v>338</v>
      </c>
      <c r="M114" s="4" t="s">
        <v>853</v>
      </c>
      <c r="N114" s="4" t="s">
        <v>858</v>
      </c>
      <c r="O114" s="4" t="s">
        <v>865</v>
      </c>
      <c r="P114" s="4" t="s">
        <v>870</v>
      </c>
      <c r="Q114" s="5">
        <f>IF((COUNT(E114)+COUNT(G114)+COUNT(I114)+COUNT(K114))=2,
   IF(MIN(E114,G114,I114,K114)=MAX(E114,G114,I114,K114),MIN(E114,G114,I114,K114),"final grade?"),
"final grade?")</f>
        <v>5</v>
      </c>
    </row>
    <row r="115" spans="1:17" ht="15.75" customHeight="1" x14ac:dyDescent="0.2">
      <c r="A115" s="6" t="s">
        <v>336</v>
      </c>
      <c r="B115" s="6" t="s">
        <v>9</v>
      </c>
      <c r="C115" s="6" t="s">
        <v>866</v>
      </c>
      <c r="D115" s="2" t="s">
        <v>339</v>
      </c>
      <c r="E115" s="7">
        <v>5</v>
      </c>
      <c r="F115" s="7"/>
      <c r="G115" s="6"/>
      <c r="H115" s="6"/>
      <c r="I115" s="16">
        <v>3</v>
      </c>
      <c r="J115" s="7" t="s">
        <v>340</v>
      </c>
      <c r="K115" s="6"/>
      <c r="L115" s="6"/>
      <c r="M115" s="10" t="s">
        <v>341</v>
      </c>
      <c r="N115" s="4" t="s">
        <v>858</v>
      </c>
      <c r="O115" s="4" t="s">
        <v>342</v>
      </c>
      <c r="P115" s="4" t="s">
        <v>870</v>
      </c>
      <c r="Q115" s="5">
        <v>5</v>
      </c>
    </row>
    <row r="116" spans="1:17" ht="15.75" customHeight="1" x14ac:dyDescent="0.2">
      <c r="A116" s="6" t="s">
        <v>336</v>
      </c>
      <c r="B116" s="6" t="s">
        <v>13</v>
      </c>
      <c r="C116" s="6" t="s">
        <v>859</v>
      </c>
      <c r="D116" s="2" t="s">
        <v>343</v>
      </c>
      <c r="E116" s="7">
        <v>2</v>
      </c>
      <c r="F116" s="7" t="s">
        <v>344</v>
      </c>
      <c r="G116" s="6">
        <v>5</v>
      </c>
      <c r="H116" s="6"/>
      <c r="I116" s="7"/>
      <c r="J116" s="7"/>
      <c r="K116" s="6"/>
      <c r="L116" s="6"/>
      <c r="M116" s="4" t="s">
        <v>345</v>
      </c>
      <c r="N116" s="4" t="s">
        <v>346</v>
      </c>
      <c r="O116" s="4" t="s">
        <v>865</v>
      </c>
      <c r="P116" s="4" t="s">
        <v>870</v>
      </c>
      <c r="Q116" s="5">
        <v>3</v>
      </c>
    </row>
    <row r="117" spans="1:17" ht="15.75" customHeight="1" x14ac:dyDescent="0.2">
      <c r="A117" s="6" t="s">
        <v>336</v>
      </c>
      <c r="B117" s="6" t="s">
        <v>18</v>
      </c>
      <c r="C117" s="6" t="s">
        <v>872</v>
      </c>
      <c r="D117" s="2" t="s">
        <v>347</v>
      </c>
      <c r="E117" s="7"/>
      <c r="F117" s="7"/>
      <c r="G117" s="6"/>
      <c r="H117" s="6"/>
      <c r="I117" s="16">
        <v>3</v>
      </c>
      <c r="J117" s="7" t="s">
        <v>348</v>
      </c>
      <c r="K117" s="6">
        <v>3</v>
      </c>
      <c r="L117" s="6" t="s">
        <v>349</v>
      </c>
      <c r="M117" s="4" t="s">
        <v>853</v>
      </c>
      <c r="N117" s="4" t="s">
        <v>858</v>
      </c>
      <c r="O117" s="4" t="s">
        <v>865</v>
      </c>
      <c r="P117" s="4" t="s">
        <v>870</v>
      </c>
      <c r="Q117" s="5">
        <f t="shared" ref="Q117:Q122" si="11">IF((COUNT(E117)+COUNT(G117)+COUNT(I117)+COUNT(K117))=2,
   IF(MIN(E117,G117,I117,K117)=MAX(E117,G117,I117,K117),MIN(E117,G117,I117,K117),"final grade?"),
"final grade?")</f>
        <v>3</v>
      </c>
    </row>
    <row r="118" spans="1:17" ht="15.75" customHeight="1" x14ac:dyDescent="0.2">
      <c r="A118" s="6" t="s">
        <v>336</v>
      </c>
      <c r="B118" s="6" t="s">
        <v>22</v>
      </c>
      <c r="C118" s="6" t="s">
        <v>859</v>
      </c>
      <c r="D118" s="2" t="s">
        <v>350</v>
      </c>
      <c r="E118" s="7">
        <v>5</v>
      </c>
      <c r="F118" s="7"/>
      <c r="G118" s="6">
        <v>5</v>
      </c>
      <c r="H118" s="6" t="s">
        <v>351</v>
      </c>
      <c r="I118" s="7"/>
      <c r="J118" s="7"/>
      <c r="K118" s="6"/>
      <c r="L118" s="6"/>
      <c r="M118" s="4" t="s">
        <v>853</v>
      </c>
      <c r="N118" s="4" t="s">
        <v>858</v>
      </c>
      <c r="O118" s="4" t="s">
        <v>865</v>
      </c>
      <c r="P118" s="4" t="s">
        <v>870</v>
      </c>
      <c r="Q118" s="5">
        <f t="shared" si="11"/>
        <v>5</v>
      </c>
    </row>
    <row r="119" spans="1:17" ht="15.75" customHeight="1" x14ac:dyDescent="0.2">
      <c r="A119" s="6" t="s">
        <v>336</v>
      </c>
      <c r="B119" s="6" t="s">
        <v>28</v>
      </c>
      <c r="C119" s="6" t="s">
        <v>872</v>
      </c>
      <c r="D119" s="2" t="s">
        <v>352</v>
      </c>
      <c r="E119" s="7"/>
      <c r="F119" s="7"/>
      <c r="G119" s="6"/>
      <c r="H119" s="6"/>
      <c r="I119" s="16">
        <v>5</v>
      </c>
      <c r="J119" s="7"/>
      <c r="K119" s="6">
        <v>5</v>
      </c>
      <c r="L119" s="6"/>
      <c r="M119" s="4" t="s">
        <v>853</v>
      </c>
      <c r="N119" s="4" t="s">
        <v>858</v>
      </c>
      <c r="O119" s="4" t="s">
        <v>865</v>
      </c>
      <c r="P119" s="4" t="s">
        <v>870</v>
      </c>
      <c r="Q119" s="5">
        <f t="shared" si="11"/>
        <v>5</v>
      </c>
    </row>
    <row r="120" spans="1:17" ht="15.75" customHeight="1" x14ac:dyDescent="0.2">
      <c r="A120" s="6" t="s">
        <v>336</v>
      </c>
      <c r="B120" s="6" t="s">
        <v>33</v>
      </c>
      <c r="C120" s="6" t="s">
        <v>872</v>
      </c>
      <c r="D120" s="2" t="s">
        <v>353</v>
      </c>
      <c r="E120" s="7"/>
      <c r="F120" s="7"/>
      <c r="G120" s="6"/>
      <c r="H120" s="6"/>
      <c r="I120" s="16">
        <v>5</v>
      </c>
      <c r="J120" s="7"/>
      <c r="K120" s="6">
        <v>5</v>
      </c>
      <c r="L120" s="6" t="s">
        <v>354</v>
      </c>
      <c r="M120" s="4" t="s">
        <v>853</v>
      </c>
      <c r="N120" s="4" t="s">
        <v>858</v>
      </c>
      <c r="O120" s="4" t="s">
        <v>865</v>
      </c>
      <c r="P120" s="4" t="s">
        <v>870</v>
      </c>
      <c r="Q120" s="5">
        <f t="shared" si="11"/>
        <v>5</v>
      </c>
    </row>
    <row r="121" spans="1:17" ht="15.75" customHeight="1" x14ac:dyDescent="0.2">
      <c r="A121" s="6" t="s">
        <v>336</v>
      </c>
      <c r="B121" s="6" t="s">
        <v>39</v>
      </c>
      <c r="C121" s="6" t="s">
        <v>872</v>
      </c>
      <c r="D121" s="2" t="s">
        <v>355</v>
      </c>
      <c r="E121" s="7"/>
      <c r="F121" s="7"/>
      <c r="G121" s="6"/>
      <c r="H121" s="6"/>
      <c r="I121" s="16">
        <v>5</v>
      </c>
      <c r="J121" s="7"/>
      <c r="K121" s="6">
        <v>5</v>
      </c>
      <c r="L121" s="6"/>
      <c r="M121" s="4" t="s">
        <v>853</v>
      </c>
      <c r="N121" s="4" t="s">
        <v>858</v>
      </c>
      <c r="O121" s="4" t="s">
        <v>865</v>
      </c>
      <c r="P121" s="4" t="s">
        <v>870</v>
      </c>
      <c r="Q121" s="5">
        <f t="shared" si="11"/>
        <v>5</v>
      </c>
    </row>
    <row r="122" spans="1:17" ht="15.75" customHeight="1" x14ac:dyDescent="0.2">
      <c r="A122" s="6" t="s">
        <v>356</v>
      </c>
      <c r="B122" s="6" t="s">
        <v>6</v>
      </c>
      <c r="C122" s="6" t="s">
        <v>866</v>
      </c>
      <c r="D122" s="2" t="s">
        <v>357</v>
      </c>
      <c r="E122" s="7">
        <v>5</v>
      </c>
      <c r="F122" s="7"/>
      <c r="G122" s="6"/>
      <c r="H122" s="6"/>
      <c r="I122" s="16">
        <v>5</v>
      </c>
      <c r="J122" s="7"/>
      <c r="K122" s="6"/>
      <c r="L122" s="6"/>
      <c r="M122" s="4" t="s">
        <v>853</v>
      </c>
      <c r="N122" s="4" t="s">
        <v>858</v>
      </c>
      <c r="O122" s="4" t="s">
        <v>865</v>
      </c>
      <c r="P122" s="4" t="s">
        <v>870</v>
      </c>
      <c r="Q122" s="5">
        <f t="shared" si="11"/>
        <v>5</v>
      </c>
    </row>
    <row r="123" spans="1:17" ht="15.75" customHeight="1" x14ac:dyDescent="0.2">
      <c r="A123" s="6" t="s">
        <v>356</v>
      </c>
      <c r="B123" s="6" t="s">
        <v>9</v>
      </c>
      <c r="C123" s="6" t="s">
        <v>866</v>
      </c>
      <c r="D123" s="2" t="s">
        <v>358</v>
      </c>
      <c r="E123" s="7">
        <v>2</v>
      </c>
      <c r="F123" s="7" t="s">
        <v>359</v>
      </c>
      <c r="G123" s="6"/>
      <c r="H123" s="6"/>
      <c r="I123" s="16">
        <v>1</v>
      </c>
      <c r="J123" s="7" t="s">
        <v>360</v>
      </c>
      <c r="K123" s="6"/>
      <c r="L123" s="6"/>
      <c r="M123" s="4" t="s">
        <v>32</v>
      </c>
      <c r="N123" s="4" t="s">
        <v>858</v>
      </c>
      <c r="O123" s="4" t="s">
        <v>865</v>
      </c>
      <c r="P123" s="4" t="s">
        <v>870</v>
      </c>
      <c r="Q123" s="5">
        <v>1</v>
      </c>
    </row>
    <row r="124" spans="1:17" ht="15.75" customHeight="1" x14ac:dyDescent="0.2">
      <c r="A124" s="6" t="s">
        <v>356</v>
      </c>
      <c r="B124" s="6" t="s">
        <v>13</v>
      </c>
      <c r="C124" s="6" t="s">
        <v>867</v>
      </c>
      <c r="D124" s="2" t="s">
        <v>361</v>
      </c>
      <c r="E124" s="7"/>
      <c r="F124" s="7"/>
      <c r="G124" s="6">
        <v>2</v>
      </c>
      <c r="H124" s="6"/>
      <c r="I124" s="16">
        <v>1</v>
      </c>
      <c r="J124" s="7" t="s">
        <v>362</v>
      </c>
      <c r="K124" s="6"/>
      <c r="L124" s="6"/>
      <c r="M124" s="4" t="s">
        <v>853</v>
      </c>
      <c r="N124" s="4" t="s">
        <v>858</v>
      </c>
      <c r="O124" s="4" t="s">
        <v>363</v>
      </c>
      <c r="P124" s="4" t="s">
        <v>870</v>
      </c>
      <c r="Q124" s="5">
        <v>2</v>
      </c>
    </row>
    <row r="125" spans="1:17" ht="15.75" customHeight="1" x14ac:dyDescent="0.2">
      <c r="A125" s="6" t="s">
        <v>356</v>
      </c>
      <c r="B125" s="6" t="s">
        <v>18</v>
      </c>
      <c r="C125" s="6" t="s">
        <v>859</v>
      </c>
      <c r="D125" s="2" t="s">
        <v>364</v>
      </c>
      <c r="E125" s="7">
        <v>5</v>
      </c>
      <c r="F125" s="7"/>
      <c r="G125" s="6">
        <v>5</v>
      </c>
      <c r="H125" s="6"/>
      <c r="I125" s="7"/>
      <c r="J125" s="7"/>
      <c r="K125" s="6"/>
      <c r="L125" s="6"/>
      <c r="M125" s="4" t="s">
        <v>853</v>
      </c>
      <c r="N125" s="4" t="s">
        <v>858</v>
      </c>
      <c r="O125" s="4" t="s">
        <v>865</v>
      </c>
      <c r="P125" s="4" t="s">
        <v>870</v>
      </c>
      <c r="Q125" s="5">
        <f>IF((COUNT(E125)+COUNT(G125)+COUNT(I125)+COUNT(K125))=2,
   IF(MIN(E125,G125,I125,K125)=MAX(E125,G125,I125,K125),MIN(E125,G125,I125,K125),"final grade?"),
"final grade?")</f>
        <v>5</v>
      </c>
    </row>
    <row r="126" spans="1:17" ht="15.75" customHeight="1" x14ac:dyDescent="0.2">
      <c r="A126" s="6" t="s">
        <v>356</v>
      </c>
      <c r="B126" s="6" t="s">
        <v>22</v>
      </c>
      <c r="C126" s="6" t="s">
        <v>866</v>
      </c>
      <c r="D126" s="2" t="s">
        <v>365</v>
      </c>
      <c r="E126" s="7">
        <v>5</v>
      </c>
      <c r="F126" s="7"/>
      <c r="G126" s="6"/>
      <c r="H126" s="6"/>
      <c r="I126" s="16">
        <v>4</v>
      </c>
      <c r="J126" s="7" t="s">
        <v>141</v>
      </c>
      <c r="K126" s="6"/>
      <c r="L126" s="6"/>
      <c r="M126" s="4" t="s">
        <v>879</v>
      </c>
      <c r="N126" s="4" t="s">
        <v>858</v>
      </c>
      <c r="O126" s="4" t="s">
        <v>366</v>
      </c>
      <c r="P126" s="4" t="s">
        <v>870</v>
      </c>
      <c r="Q126" s="5">
        <v>5</v>
      </c>
    </row>
    <row r="127" spans="1:17" ht="15.75" customHeight="1" x14ac:dyDescent="0.2">
      <c r="A127" s="6" t="s">
        <v>356</v>
      </c>
      <c r="B127" s="6" t="s">
        <v>28</v>
      </c>
      <c r="C127" s="6" t="s">
        <v>873</v>
      </c>
      <c r="D127" s="2" t="s">
        <v>367</v>
      </c>
      <c r="E127" s="7"/>
      <c r="F127" s="7"/>
      <c r="G127" s="6">
        <v>5</v>
      </c>
      <c r="H127" s="6"/>
      <c r="I127" s="7"/>
      <c r="J127" s="7"/>
      <c r="K127" s="6">
        <v>5</v>
      </c>
      <c r="L127" s="6"/>
      <c r="M127" s="4" t="s">
        <v>853</v>
      </c>
      <c r="N127" s="4" t="s">
        <v>858</v>
      </c>
      <c r="O127" s="4" t="s">
        <v>865</v>
      </c>
      <c r="P127" s="4" t="s">
        <v>870</v>
      </c>
      <c r="Q127" s="5">
        <f t="shared" ref="Q127:Q129" si="12">IF((COUNT(E127)+COUNT(G127)+COUNT(I127)+COUNT(K127))=2,
   IF(MIN(E127,G127,I127,K127)=MAX(E127,G127,I127,K127),MIN(E127,G127,I127,K127),"final grade?"),
"final grade?")</f>
        <v>5</v>
      </c>
    </row>
    <row r="128" spans="1:17" ht="15.75" customHeight="1" x14ac:dyDescent="0.2">
      <c r="A128" s="6" t="s">
        <v>356</v>
      </c>
      <c r="B128" s="6" t="s">
        <v>33</v>
      </c>
      <c r="C128" s="6" t="s">
        <v>873</v>
      </c>
      <c r="D128" s="2" t="s">
        <v>368</v>
      </c>
      <c r="E128" s="7"/>
      <c r="F128" s="7"/>
      <c r="G128" s="6">
        <v>5</v>
      </c>
      <c r="H128" s="6"/>
      <c r="I128" s="7"/>
      <c r="J128" s="7"/>
      <c r="K128" s="6">
        <v>5</v>
      </c>
      <c r="L128" s="6"/>
      <c r="M128" s="4" t="s">
        <v>853</v>
      </c>
      <c r="N128" s="4" t="s">
        <v>858</v>
      </c>
      <c r="O128" s="4" t="s">
        <v>865</v>
      </c>
      <c r="P128" s="4" t="s">
        <v>870</v>
      </c>
      <c r="Q128" s="5">
        <f t="shared" si="12"/>
        <v>5</v>
      </c>
    </row>
    <row r="129" spans="1:17" ht="15.75" customHeight="1" x14ac:dyDescent="0.2">
      <c r="A129" s="6" t="s">
        <v>356</v>
      </c>
      <c r="B129" s="6" t="s">
        <v>39</v>
      </c>
      <c r="C129" s="6" t="s">
        <v>871</v>
      </c>
      <c r="D129" s="2" t="s">
        <v>369</v>
      </c>
      <c r="E129" s="7">
        <v>5</v>
      </c>
      <c r="F129" s="7"/>
      <c r="G129" s="6"/>
      <c r="H129" s="6"/>
      <c r="I129" s="7"/>
      <c r="J129" s="7"/>
      <c r="K129" s="6">
        <v>5</v>
      </c>
      <c r="L129" s="6" t="s">
        <v>370</v>
      </c>
      <c r="M129" s="4" t="s">
        <v>853</v>
      </c>
      <c r="N129" s="4" t="s">
        <v>858</v>
      </c>
      <c r="O129" s="4" t="s">
        <v>865</v>
      </c>
      <c r="P129" s="4" t="s">
        <v>870</v>
      </c>
      <c r="Q129" s="5">
        <f t="shared" si="12"/>
        <v>5</v>
      </c>
    </row>
    <row r="130" spans="1:17" ht="15.75" customHeight="1" x14ac:dyDescent="0.2">
      <c r="A130" s="6" t="s">
        <v>371</v>
      </c>
      <c r="B130" s="6" t="s">
        <v>6</v>
      </c>
      <c r="C130" s="6" t="s">
        <v>873</v>
      </c>
      <c r="D130" s="2" t="s">
        <v>372</v>
      </c>
      <c r="E130" s="7"/>
      <c r="F130" s="7"/>
      <c r="G130" s="6">
        <v>3</v>
      </c>
      <c r="H130" s="6" t="s">
        <v>373</v>
      </c>
      <c r="I130" s="7"/>
      <c r="J130" s="7"/>
      <c r="K130" s="6">
        <v>4</v>
      </c>
      <c r="L130" s="6" t="s">
        <v>374</v>
      </c>
      <c r="M130" s="4" t="s">
        <v>853</v>
      </c>
      <c r="N130" s="4" t="s">
        <v>375</v>
      </c>
      <c r="O130" s="4" t="s">
        <v>865</v>
      </c>
      <c r="P130" s="4" t="s">
        <v>376</v>
      </c>
      <c r="Q130" s="5">
        <v>3</v>
      </c>
    </row>
    <row r="131" spans="1:17" ht="15.75" customHeight="1" x14ac:dyDescent="0.2">
      <c r="A131" s="6" t="s">
        <v>371</v>
      </c>
      <c r="B131" s="6" t="s">
        <v>9</v>
      </c>
      <c r="C131" s="6" t="s">
        <v>866</v>
      </c>
      <c r="D131" s="2" t="s">
        <v>377</v>
      </c>
      <c r="E131" s="7">
        <v>3</v>
      </c>
      <c r="F131" s="7" t="s">
        <v>246</v>
      </c>
      <c r="G131" s="6"/>
      <c r="H131" s="6"/>
      <c r="I131" s="16">
        <v>1</v>
      </c>
      <c r="J131" s="7" t="s">
        <v>378</v>
      </c>
      <c r="K131" s="6"/>
      <c r="L131" s="6"/>
      <c r="M131" s="4" t="s">
        <v>379</v>
      </c>
      <c r="N131" s="4" t="s">
        <v>858</v>
      </c>
      <c r="O131" s="4" t="s">
        <v>380</v>
      </c>
      <c r="P131" s="4" t="s">
        <v>870</v>
      </c>
      <c r="Q131" s="5">
        <v>2</v>
      </c>
    </row>
    <row r="132" spans="1:17" ht="15.75" customHeight="1" x14ac:dyDescent="0.2">
      <c r="A132" s="6" t="s">
        <v>371</v>
      </c>
      <c r="B132" s="6" t="s">
        <v>13</v>
      </c>
      <c r="C132" s="6" t="s">
        <v>867</v>
      </c>
      <c r="D132" s="2" t="s">
        <v>381</v>
      </c>
      <c r="E132" s="7"/>
      <c r="F132" s="7"/>
      <c r="G132" s="6">
        <v>5</v>
      </c>
      <c r="H132" s="6" t="s">
        <v>382</v>
      </c>
      <c r="I132" s="16">
        <v>2</v>
      </c>
      <c r="J132" s="7" t="s">
        <v>383</v>
      </c>
      <c r="K132" s="6"/>
      <c r="L132" s="6"/>
      <c r="M132" s="4" t="s">
        <v>853</v>
      </c>
      <c r="N132" s="4" t="s">
        <v>858</v>
      </c>
      <c r="O132" s="4" t="s">
        <v>384</v>
      </c>
      <c r="P132" s="4" t="s">
        <v>870</v>
      </c>
      <c r="Q132" s="5">
        <v>5</v>
      </c>
    </row>
    <row r="133" spans="1:17" ht="15.75" customHeight="1" x14ac:dyDescent="0.2">
      <c r="A133" s="6" t="s">
        <v>371</v>
      </c>
      <c r="B133" s="6" t="s">
        <v>18</v>
      </c>
      <c r="C133" s="6" t="s">
        <v>873</v>
      </c>
      <c r="D133" s="2" t="s">
        <v>385</v>
      </c>
      <c r="E133" s="7"/>
      <c r="F133" s="7"/>
      <c r="G133" s="6">
        <v>2</v>
      </c>
      <c r="H133" s="6" t="s">
        <v>386</v>
      </c>
      <c r="I133" s="7"/>
      <c r="J133" s="7"/>
      <c r="K133" s="6">
        <v>3</v>
      </c>
      <c r="L133" s="6" t="s">
        <v>387</v>
      </c>
      <c r="M133" s="4" t="s">
        <v>853</v>
      </c>
      <c r="N133" s="4" t="s">
        <v>388</v>
      </c>
      <c r="O133" s="4" t="s">
        <v>865</v>
      </c>
      <c r="P133" s="4" t="s">
        <v>389</v>
      </c>
      <c r="Q133" s="5">
        <v>2</v>
      </c>
    </row>
    <row r="134" spans="1:17" ht="15.75" customHeight="1" x14ac:dyDescent="0.2">
      <c r="A134" s="6" t="s">
        <v>371</v>
      </c>
      <c r="B134" s="6" t="s">
        <v>22</v>
      </c>
      <c r="C134" s="6" t="s">
        <v>872</v>
      </c>
      <c r="D134" s="2" t="s">
        <v>390</v>
      </c>
      <c r="E134" s="7"/>
      <c r="F134" s="7"/>
      <c r="G134" s="6"/>
      <c r="H134" s="6"/>
      <c r="I134" s="16">
        <v>4</v>
      </c>
      <c r="J134" s="7" t="s">
        <v>391</v>
      </c>
      <c r="K134" s="6">
        <v>3</v>
      </c>
      <c r="L134" s="6" t="s">
        <v>392</v>
      </c>
      <c r="M134" s="4" t="s">
        <v>853</v>
      </c>
      <c r="N134" s="4" t="s">
        <v>858</v>
      </c>
      <c r="O134" s="4" t="s">
        <v>50</v>
      </c>
      <c r="P134" s="4" t="s">
        <v>393</v>
      </c>
      <c r="Q134" s="5">
        <v>3</v>
      </c>
    </row>
    <row r="135" spans="1:17" ht="15.75" customHeight="1" x14ac:dyDescent="0.2">
      <c r="A135" s="6" t="s">
        <v>371</v>
      </c>
      <c r="B135" s="6" t="s">
        <v>28</v>
      </c>
      <c r="C135" s="6" t="s">
        <v>872</v>
      </c>
      <c r="D135" s="2" t="s">
        <v>394</v>
      </c>
      <c r="E135" s="7"/>
      <c r="F135" s="7"/>
      <c r="G135" s="6"/>
      <c r="H135" s="6"/>
      <c r="I135" s="16">
        <v>1</v>
      </c>
      <c r="J135" s="7" t="s">
        <v>143</v>
      </c>
      <c r="K135" s="6">
        <v>2</v>
      </c>
      <c r="L135" s="6" t="s">
        <v>395</v>
      </c>
      <c r="M135" s="4" t="s">
        <v>853</v>
      </c>
      <c r="N135" s="4" t="s">
        <v>858</v>
      </c>
      <c r="O135" s="4" t="s">
        <v>865</v>
      </c>
      <c r="P135" s="4" t="s">
        <v>396</v>
      </c>
      <c r="Q135" s="5">
        <v>1</v>
      </c>
    </row>
    <row r="136" spans="1:17" ht="15.75" customHeight="1" x14ac:dyDescent="0.2">
      <c r="A136" s="6" t="s">
        <v>371</v>
      </c>
      <c r="B136" s="6" t="s">
        <v>33</v>
      </c>
      <c r="C136" s="6" t="s">
        <v>866</v>
      </c>
      <c r="D136" s="2" t="s">
        <v>397</v>
      </c>
      <c r="E136" s="7">
        <v>4</v>
      </c>
      <c r="F136" s="7" t="s">
        <v>398</v>
      </c>
      <c r="G136" s="6"/>
      <c r="H136" s="6"/>
      <c r="I136" s="16">
        <v>4</v>
      </c>
      <c r="J136" s="7" t="s">
        <v>399</v>
      </c>
      <c r="K136" s="6"/>
      <c r="L136" s="6"/>
      <c r="M136" s="4" t="s">
        <v>853</v>
      </c>
      <c r="N136" s="4" t="s">
        <v>858</v>
      </c>
      <c r="O136" s="4" t="s">
        <v>865</v>
      </c>
      <c r="P136" s="4" t="s">
        <v>870</v>
      </c>
      <c r="Q136" s="5">
        <f t="shared" ref="Q136:Q138" si="13">IF((COUNT(E136)+COUNT(G136)+COUNT(I136)+COUNT(K136))=2,
   IF(MIN(E136,G136,I136,K136)=MAX(E136,G136,I136,K136),MIN(E136,G136,I136,K136),"final grade?"),
"final grade?")</f>
        <v>4</v>
      </c>
    </row>
    <row r="137" spans="1:17" ht="15.75" customHeight="1" x14ac:dyDescent="0.2">
      <c r="A137" s="6" t="s">
        <v>371</v>
      </c>
      <c r="B137" s="6" t="s">
        <v>39</v>
      </c>
      <c r="C137" s="6" t="s">
        <v>873</v>
      </c>
      <c r="D137" s="2" t="s">
        <v>400</v>
      </c>
      <c r="E137" s="7"/>
      <c r="F137" s="7"/>
      <c r="G137" s="6">
        <v>1</v>
      </c>
      <c r="H137" s="6" t="s">
        <v>401</v>
      </c>
      <c r="I137" s="7"/>
      <c r="J137" s="7"/>
      <c r="K137" s="6">
        <v>1</v>
      </c>
      <c r="L137" s="6" t="s">
        <v>167</v>
      </c>
      <c r="M137" s="4" t="s">
        <v>853</v>
      </c>
      <c r="N137" s="4" t="s">
        <v>858</v>
      </c>
      <c r="O137" s="4" t="s">
        <v>865</v>
      </c>
      <c r="P137" s="4" t="s">
        <v>870</v>
      </c>
      <c r="Q137" s="5">
        <f t="shared" si="13"/>
        <v>1</v>
      </c>
    </row>
    <row r="138" spans="1:17" ht="15.75" customHeight="1" x14ac:dyDescent="0.2">
      <c r="A138" s="6" t="s">
        <v>402</v>
      </c>
      <c r="B138" s="6" t="s">
        <v>6</v>
      </c>
      <c r="C138" s="6" t="s">
        <v>867</v>
      </c>
      <c r="D138" s="2" t="s">
        <v>403</v>
      </c>
      <c r="E138" s="7"/>
      <c r="F138" s="7"/>
      <c r="G138" s="6">
        <v>5</v>
      </c>
      <c r="H138" s="6"/>
      <c r="I138" s="16">
        <v>5</v>
      </c>
      <c r="J138" s="7"/>
      <c r="K138" s="6"/>
      <c r="L138" s="6"/>
      <c r="M138" s="4" t="s">
        <v>853</v>
      </c>
      <c r="N138" s="4" t="s">
        <v>858</v>
      </c>
      <c r="O138" s="4" t="s">
        <v>865</v>
      </c>
      <c r="P138" s="4" t="s">
        <v>870</v>
      </c>
      <c r="Q138" s="5">
        <f t="shared" si="13"/>
        <v>5</v>
      </c>
    </row>
    <row r="139" spans="1:17" ht="15.75" customHeight="1" x14ac:dyDescent="0.2">
      <c r="A139" s="6" t="s">
        <v>402</v>
      </c>
      <c r="B139" s="6" t="s">
        <v>9</v>
      </c>
      <c r="C139" s="6" t="s">
        <v>867</v>
      </c>
      <c r="D139" s="2" t="s">
        <v>404</v>
      </c>
      <c r="E139" s="7"/>
      <c r="F139" s="7"/>
      <c r="G139" s="6">
        <v>2</v>
      </c>
      <c r="H139" s="6" t="s">
        <v>405</v>
      </c>
      <c r="I139" s="16">
        <v>3</v>
      </c>
      <c r="J139" s="7" t="s">
        <v>406</v>
      </c>
      <c r="K139" s="6"/>
      <c r="L139" s="6"/>
      <c r="M139" s="4" t="s">
        <v>853</v>
      </c>
      <c r="N139" s="4" t="s">
        <v>858</v>
      </c>
      <c r="O139" s="4" t="s">
        <v>68</v>
      </c>
      <c r="P139" s="4" t="s">
        <v>870</v>
      </c>
      <c r="Q139" s="5">
        <v>2</v>
      </c>
    </row>
    <row r="140" spans="1:17" ht="15.75" customHeight="1" x14ac:dyDescent="0.2">
      <c r="A140" s="6" t="s">
        <v>402</v>
      </c>
      <c r="B140" s="6" t="s">
        <v>13</v>
      </c>
      <c r="C140" s="6" t="s">
        <v>873</v>
      </c>
      <c r="D140" s="2" t="s">
        <v>407</v>
      </c>
      <c r="E140" s="7"/>
      <c r="F140" s="7"/>
      <c r="G140" s="6">
        <v>3</v>
      </c>
      <c r="H140" s="6" t="s">
        <v>109</v>
      </c>
      <c r="I140" s="7"/>
      <c r="J140" s="7"/>
      <c r="K140" s="6">
        <v>2</v>
      </c>
      <c r="L140" s="6" t="s">
        <v>408</v>
      </c>
      <c r="M140" s="4" t="s">
        <v>853</v>
      </c>
      <c r="N140" s="4" t="s">
        <v>68</v>
      </c>
      <c r="O140" s="4" t="s">
        <v>865</v>
      </c>
      <c r="P140" s="4" t="s">
        <v>409</v>
      </c>
      <c r="Q140" s="5">
        <v>2</v>
      </c>
    </row>
    <row r="141" spans="1:17" ht="15.75" customHeight="1" x14ac:dyDescent="0.2">
      <c r="A141" s="6" t="s">
        <v>402</v>
      </c>
      <c r="B141" s="6" t="s">
        <v>18</v>
      </c>
      <c r="C141" s="6" t="s">
        <v>873</v>
      </c>
      <c r="D141" s="2" t="s">
        <v>410</v>
      </c>
      <c r="E141" s="7"/>
      <c r="F141" s="7"/>
      <c r="G141" s="6">
        <v>3</v>
      </c>
      <c r="H141" s="6" t="s">
        <v>411</v>
      </c>
      <c r="I141" s="7"/>
      <c r="J141" s="7"/>
      <c r="K141" s="6">
        <v>3</v>
      </c>
      <c r="L141" s="6" t="s">
        <v>412</v>
      </c>
      <c r="M141" s="4" t="s">
        <v>853</v>
      </c>
      <c r="N141" s="4" t="s">
        <v>858</v>
      </c>
      <c r="O141" s="4" t="s">
        <v>865</v>
      </c>
      <c r="P141" s="4" t="s">
        <v>870</v>
      </c>
      <c r="Q141" s="5">
        <f>IF((COUNT(E141)+COUNT(G141)+COUNT(I141)+COUNT(K141))=2,
   IF(MIN(E141,G141,I141,K141)=MAX(E141,G141,I141,K141),MIN(E141,G141,I141,K141),"final grade?"),
"final grade?")</f>
        <v>3</v>
      </c>
    </row>
    <row r="142" spans="1:17" ht="15.75" customHeight="1" x14ac:dyDescent="0.2">
      <c r="A142" s="6" t="s">
        <v>402</v>
      </c>
      <c r="B142" s="6" t="s">
        <v>22</v>
      </c>
      <c r="C142" s="6" t="s">
        <v>871</v>
      </c>
      <c r="D142" s="2" t="s">
        <v>413</v>
      </c>
      <c r="E142" s="7">
        <v>4</v>
      </c>
      <c r="F142" s="7" t="s">
        <v>414</v>
      </c>
      <c r="G142" s="6"/>
      <c r="H142" s="6"/>
      <c r="I142" s="7"/>
      <c r="J142" s="7"/>
      <c r="K142" s="6">
        <v>3</v>
      </c>
      <c r="L142" s="6" t="s">
        <v>415</v>
      </c>
      <c r="M142" s="4" t="s">
        <v>50</v>
      </c>
      <c r="N142" s="4" t="s">
        <v>858</v>
      </c>
      <c r="O142" s="4" t="s">
        <v>865</v>
      </c>
      <c r="P142" s="4" t="s">
        <v>51</v>
      </c>
      <c r="Q142" s="5">
        <v>3</v>
      </c>
    </row>
    <row r="143" spans="1:17" ht="15.75" customHeight="1" x14ac:dyDescent="0.2">
      <c r="A143" s="6" t="s">
        <v>402</v>
      </c>
      <c r="B143" s="6" t="s">
        <v>28</v>
      </c>
      <c r="C143" s="6" t="s">
        <v>867</v>
      </c>
      <c r="D143" s="2" t="s">
        <v>416</v>
      </c>
      <c r="E143" s="7"/>
      <c r="F143" s="7"/>
      <c r="G143" s="6">
        <v>5</v>
      </c>
      <c r="H143" s="6" t="s">
        <v>417</v>
      </c>
      <c r="I143" s="16">
        <v>5</v>
      </c>
      <c r="J143" s="7"/>
      <c r="K143" s="6"/>
      <c r="L143" s="6"/>
      <c r="M143" s="4" t="s">
        <v>853</v>
      </c>
      <c r="N143" s="4" t="s">
        <v>858</v>
      </c>
      <c r="O143" s="4" t="s">
        <v>865</v>
      </c>
      <c r="P143" s="4" t="s">
        <v>870</v>
      </c>
      <c r="Q143" s="5">
        <f t="shared" ref="Q143:Q144" si="14">IF((COUNT(E143)+COUNT(G143)+COUNT(I143)+COUNT(K143))=2,
   IF(MIN(E143,G143,I143,K143)=MAX(E143,G143,I143,K143),MIN(E143,G143,I143,K143),"final grade?"),
"final grade?")</f>
        <v>5</v>
      </c>
    </row>
    <row r="144" spans="1:17" ht="15.75" customHeight="1" x14ac:dyDescent="0.2">
      <c r="A144" s="6" t="s">
        <v>402</v>
      </c>
      <c r="B144" s="6" t="s">
        <v>33</v>
      </c>
      <c r="C144" s="6" t="s">
        <v>871</v>
      </c>
      <c r="D144" s="2" t="s">
        <v>418</v>
      </c>
      <c r="E144" s="7">
        <v>5</v>
      </c>
      <c r="F144" s="7"/>
      <c r="G144" s="6"/>
      <c r="H144" s="6"/>
      <c r="I144" s="7"/>
      <c r="J144" s="7"/>
      <c r="K144" s="6">
        <v>5</v>
      </c>
      <c r="L144" s="6" t="s">
        <v>419</v>
      </c>
      <c r="M144" s="4" t="s">
        <v>853</v>
      </c>
      <c r="N144" s="4" t="s">
        <v>858</v>
      </c>
      <c r="O144" s="4" t="s">
        <v>865</v>
      </c>
      <c r="P144" s="4" t="s">
        <v>870</v>
      </c>
      <c r="Q144" s="5">
        <f t="shared" si="14"/>
        <v>5</v>
      </c>
    </row>
    <row r="145" spans="1:17" ht="15.75" customHeight="1" x14ac:dyDescent="0.2">
      <c r="A145" s="6" t="s">
        <v>402</v>
      </c>
      <c r="B145" s="6" t="s">
        <v>39</v>
      </c>
      <c r="C145" s="6" t="s">
        <v>871</v>
      </c>
      <c r="D145" s="2" t="s">
        <v>420</v>
      </c>
      <c r="E145" s="7">
        <v>4</v>
      </c>
      <c r="F145" s="7" t="s">
        <v>421</v>
      </c>
      <c r="G145" s="6"/>
      <c r="H145" s="6"/>
      <c r="I145" s="7"/>
      <c r="J145" s="7"/>
      <c r="K145" s="6">
        <v>5</v>
      </c>
      <c r="L145" s="6" t="s">
        <v>419</v>
      </c>
      <c r="M145" s="4" t="s">
        <v>422</v>
      </c>
      <c r="N145" s="4" t="s">
        <v>858</v>
      </c>
      <c r="O145" s="4" t="s">
        <v>865</v>
      </c>
      <c r="P145" s="4" t="s">
        <v>423</v>
      </c>
      <c r="Q145" s="5">
        <v>5</v>
      </c>
    </row>
    <row r="146" spans="1:17" ht="150.75" customHeight="1" x14ac:dyDescent="0.2">
      <c r="A146" s="6" t="s">
        <v>424</v>
      </c>
      <c r="B146" s="6" t="s">
        <v>6</v>
      </c>
      <c r="C146" s="6" t="s">
        <v>872</v>
      </c>
      <c r="D146" s="2" t="s">
        <v>425</v>
      </c>
      <c r="E146" s="7"/>
      <c r="F146" s="7"/>
      <c r="G146" s="6"/>
      <c r="H146" s="6"/>
      <c r="I146" s="16">
        <v>4</v>
      </c>
      <c r="J146" s="7" t="s">
        <v>426</v>
      </c>
      <c r="K146" s="6">
        <v>4</v>
      </c>
      <c r="L146" s="6" t="s">
        <v>427</v>
      </c>
      <c r="M146" s="4" t="s">
        <v>853</v>
      </c>
      <c r="N146" s="4" t="s">
        <v>858</v>
      </c>
      <c r="O146" s="4" t="s">
        <v>865</v>
      </c>
      <c r="P146" s="4" t="s">
        <v>870</v>
      </c>
      <c r="Q146" s="5">
        <f>IF((COUNT(E146)+COUNT(G146)+COUNT(I146)+COUNT(K146))=2,
   IF(MIN(E146,G146,I146,K146)=MAX(E146,G146,I146,K146),MIN(E146,G146,I146,K146),"final grade?"),
"final grade?")</f>
        <v>4</v>
      </c>
    </row>
    <row r="147" spans="1:17" ht="15.75" customHeight="1" x14ac:dyDescent="0.2">
      <c r="A147" s="6" t="s">
        <v>424</v>
      </c>
      <c r="B147" s="6" t="s">
        <v>9</v>
      </c>
      <c r="C147" s="6" t="s">
        <v>867</v>
      </c>
      <c r="D147" s="2" t="s">
        <v>428</v>
      </c>
      <c r="E147" s="7"/>
      <c r="F147" s="7"/>
      <c r="G147" s="6">
        <v>3</v>
      </c>
      <c r="H147" s="6" t="s">
        <v>429</v>
      </c>
      <c r="I147" s="16">
        <v>2</v>
      </c>
      <c r="J147" s="7" t="s">
        <v>430</v>
      </c>
      <c r="K147" s="6"/>
      <c r="L147" s="6"/>
      <c r="M147" s="4" t="s">
        <v>853</v>
      </c>
      <c r="N147" s="4" t="s">
        <v>858</v>
      </c>
      <c r="O147" s="4" t="s">
        <v>50</v>
      </c>
      <c r="P147" s="4" t="s">
        <v>870</v>
      </c>
      <c r="Q147" s="5">
        <v>3</v>
      </c>
    </row>
    <row r="148" spans="1:17" ht="15.75" customHeight="1" x14ac:dyDescent="0.2">
      <c r="A148" s="6" t="s">
        <v>424</v>
      </c>
      <c r="B148" s="6" t="s">
        <v>13</v>
      </c>
      <c r="C148" s="6" t="s">
        <v>859</v>
      </c>
      <c r="D148" s="2" t="s">
        <v>431</v>
      </c>
      <c r="E148" s="7">
        <v>2</v>
      </c>
      <c r="F148" s="7" t="s">
        <v>432</v>
      </c>
      <c r="G148" s="6">
        <v>2</v>
      </c>
      <c r="H148" s="6" t="s">
        <v>433</v>
      </c>
      <c r="I148" s="7"/>
      <c r="J148" s="7"/>
      <c r="K148" s="6"/>
      <c r="L148" s="6"/>
      <c r="M148" s="4" t="s">
        <v>853</v>
      </c>
      <c r="N148" s="4" t="s">
        <v>858</v>
      </c>
      <c r="O148" s="4" t="s">
        <v>865</v>
      </c>
      <c r="P148" s="4" t="s">
        <v>870</v>
      </c>
      <c r="Q148" s="5">
        <f t="shared" ref="Q148:Q150" si="15">IF((COUNT(E148)+COUNT(G148)+COUNT(I148)+COUNT(K148))=2,
   IF(MIN(E148,G148,I148,K148)=MAX(E148,G148,I148,K148),MIN(E148,G148,I148,K148),"final grade?"),
"final grade?")</f>
        <v>2</v>
      </c>
    </row>
    <row r="149" spans="1:17" ht="15.75" customHeight="1" x14ac:dyDescent="0.2">
      <c r="A149" s="6" t="s">
        <v>424</v>
      </c>
      <c r="B149" s="6" t="s">
        <v>18</v>
      </c>
      <c r="C149" s="6" t="s">
        <v>859</v>
      </c>
      <c r="D149" s="2" t="s">
        <v>434</v>
      </c>
      <c r="E149" s="7">
        <v>3</v>
      </c>
      <c r="F149" s="7" t="s">
        <v>251</v>
      </c>
      <c r="G149" s="6">
        <v>3</v>
      </c>
      <c r="H149" s="6" t="s">
        <v>187</v>
      </c>
      <c r="I149" s="7"/>
      <c r="J149" s="7"/>
      <c r="K149" s="6"/>
      <c r="L149" s="6"/>
      <c r="M149" s="4" t="s">
        <v>853</v>
      </c>
      <c r="N149" s="4" t="s">
        <v>858</v>
      </c>
      <c r="O149" s="4" t="s">
        <v>865</v>
      </c>
      <c r="P149" s="4" t="s">
        <v>870</v>
      </c>
      <c r="Q149" s="5">
        <f t="shared" si="15"/>
        <v>3</v>
      </c>
    </row>
    <row r="150" spans="1:17" ht="15.75" customHeight="1" x14ac:dyDescent="0.2">
      <c r="A150" s="6" t="s">
        <v>424</v>
      </c>
      <c r="B150" s="6" t="s">
        <v>22</v>
      </c>
      <c r="C150" s="6" t="s">
        <v>872</v>
      </c>
      <c r="D150" s="2" t="s">
        <v>435</v>
      </c>
      <c r="E150" s="7"/>
      <c r="F150" s="7"/>
      <c r="G150" s="6"/>
      <c r="H150" s="6"/>
      <c r="I150" s="16">
        <v>3</v>
      </c>
      <c r="J150" s="7" t="s">
        <v>436</v>
      </c>
      <c r="K150" s="6">
        <v>3</v>
      </c>
      <c r="L150" s="6" t="s">
        <v>437</v>
      </c>
      <c r="M150" s="4" t="s">
        <v>853</v>
      </c>
      <c r="N150" s="4" t="s">
        <v>858</v>
      </c>
      <c r="O150" s="4" t="s">
        <v>865</v>
      </c>
      <c r="P150" s="4" t="s">
        <v>870</v>
      </c>
      <c r="Q150" s="5">
        <f t="shared" si="15"/>
        <v>3</v>
      </c>
    </row>
    <row r="151" spans="1:17" ht="15.75" customHeight="1" x14ac:dyDescent="0.2">
      <c r="A151" s="6" t="s">
        <v>424</v>
      </c>
      <c r="B151" s="6" t="s">
        <v>28</v>
      </c>
      <c r="C151" s="6" t="s">
        <v>867</v>
      </c>
      <c r="D151" s="2" t="s">
        <v>438</v>
      </c>
      <c r="E151" s="7"/>
      <c r="F151" s="7"/>
      <c r="G151" s="6">
        <v>5</v>
      </c>
      <c r="H151" s="6"/>
      <c r="I151" s="16">
        <v>1</v>
      </c>
      <c r="J151" s="7" t="s">
        <v>439</v>
      </c>
      <c r="K151" s="6"/>
      <c r="L151" s="6"/>
      <c r="M151" s="4" t="s">
        <v>853</v>
      </c>
      <c r="N151" s="4" t="s">
        <v>440</v>
      </c>
      <c r="O151" s="4" t="s">
        <v>441</v>
      </c>
      <c r="P151" s="4" t="s">
        <v>870</v>
      </c>
      <c r="Q151" s="17">
        <v>2</v>
      </c>
    </row>
    <row r="152" spans="1:17" ht="15.75" customHeight="1" x14ac:dyDescent="0.2">
      <c r="A152" s="6" t="s">
        <v>424</v>
      </c>
      <c r="B152" s="6" t="s">
        <v>33</v>
      </c>
      <c r="C152" s="6" t="s">
        <v>873</v>
      </c>
      <c r="D152" s="2" t="s">
        <v>442</v>
      </c>
      <c r="E152" s="7"/>
      <c r="F152" s="7"/>
      <c r="G152" s="6">
        <v>5</v>
      </c>
      <c r="H152" s="6" t="s">
        <v>443</v>
      </c>
      <c r="I152" s="7"/>
      <c r="J152" s="7"/>
      <c r="K152" s="6">
        <v>5</v>
      </c>
      <c r="L152" s="6" t="s">
        <v>444</v>
      </c>
      <c r="M152" s="4" t="s">
        <v>853</v>
      </c>
      <c r="N152" s="4" t="s">
        <v>858</v>
      </c>
      <c r="O152" s="4" t="s">
        <v>865</v>
      </c>
      <c r="P152" s="4" t="s">
        <v>870</v>
      </c>
      <c r="Q152" s="5">
        <f>IF((COUNT(E152)+COUNT(G152)+COUNT(I152)+COUNT(K152))=2,
   IF(MIN(E152,G152,I152,K152)=MAX(E152,G152,I152,K152),MIN(E152,G152,I152,K152),"final grade?"),
"final grade?")</f>
        <v>5</v>
      </c>
    </row>
    <row r="153" spans="1:17" ht="15.75" customHeight="1" x14ac:dyDescent="0.2">
      <c r="A153" s="6" t="s">
        <v>424</v>
      </c>
      <c r="B153" s="6" t="s">
        <v>39</v>
      </c>
      <c r="C153" s="6" t="s">
        <v>871</v>
      </c>
      <c r="D153" s="2" t="s">
        <v>445</v>
      </c>
      <c r="E153" s="7">
        <v>2</v>
      </c>
      <c r="F153" s="7" t="s">
        <v>446</v>
      </c>
      <c r="G153" s="6"/>
      <c r="H153" s="6"/>
      <c r="I153" s="7"/>
      <c r="J153" s="7"/>
      <c r="K153" s="6">
        <v>3</v>
      </c>
      <c r="L153" s="6" t="s">
        <v>447</v>
      </c>
      <c r="M153" s="4" t="s">
        <v>448</v>
      </c>
      <c r="N153" s="4" t="s">
        <v>858</v>
      </c>
      <c r="O153" s="4" t="s">
        <v>865</v>
      </c>
      <c r="P153" s="4" t="s">
        <v>449</v>
      </c>
      <c r="Q153" s="5">
        <v>3</v>
      </c>
    </row>
    <row r="154" spans="1:17" ht="15.75" customHeight="1" x14ac:dyDescent="0.2">
      <c r="A154" s="6" t="s">
        <v>450</v>
      </c>
      <c r="B154" s="6" t="s">
        <v>6</v>
      </c>
      <c r="C154" s="6" t="s">
        <v>873</v>
      </c>
      <c r="D154" s="2" t="s">
        <v>451</v>
      </c>
      <c r="E154" s="7"/>
      <c r="F154" s="7"/>
      <c r="G154" s="6">
        <v>3</v>
      </c>
      <c r="H154" s="6" t="s">
        <v>74</v>
      </c>
      <c r="I154" s="7"/>
      <c r="J154" s="7"/>
      <c r="K154" s="6">
        <v>3</v>
      </c>
      <c r="L154" s="6" t="s">
        <v>452</v>
      </c>
      <c r="M154" s="4" t="s">
        <v>853</v>
      </c>
      <c r="N154" s="4" t="s">
        <v>858</v>
      </c>
      <c r="O154" s="4" t="s">
        <v>865</v>
      </c>
      <c r="P154" s="4" t="s">
        <v>870</v>
      </c>
      <c r="Q154" s="5">
        <f>IF((COUNT(E154)+COUNT(G154)+COUNT(I154)+COUNT(K154))=2,
   IF(MIN(E154,G154,I154,K154)=MAX(E154,G154,I154,K154),MIN(E154,G154,I154,K154),"final grade?"),
"final grade?")</f>
        <v>3</v>
      </c>
    </row>
    <row r="155" spans="1:17" ht="15.75" customHeight="1" x14ac:dyDescent="0.2">
      <c r="A155" s="6" t="s">
        <v>450</v>
      </c>
      <c r="B155" s="6" t="s">
        <v>9</v>
      </c>
      <c r="C155" s="6" t="s">
        <v>867</v>
      </c>
      <c r="D155" s="2" t="s">
        <v>453</v>
      </c>
      <c r="E155" s="7"/>
      <c r="F155" s="7"/>
      <c r="G155" s="6">
        <v>3</v>
      </c>
      <c r="H155" s="6" t="s">
        <v>247</v>
      </c>
      <c r="I155" s="16">
        <v>2</v>
      </c>
      <c r="J155" s="7" t="s">
        <v>430</v>
      </c>
      <c r="K155" s="6"/>
      <c r="L155" s="6"/>
      <c r="M155" s="4" t="s">
        <v>853</v>
      </c>
      <c r="N155" s="4" t="s">
        <v>858</v>
      </c>
      <c r="O155" s="4" t="s">
        <v>50</v>
      </c>
      <c r="P155" s="4" t="s">
        <v>870</v>
      </c>
      <c r="Q155" s="5">
        <v>3</v>
      </c>
    </row>
    <row r="156" spans="1:17" ht="15.75" customHeight="1" x14ac:dyDescent="0.2">
      <c r="A156" s="6" t="s">
        <v>450</v>
      </c>
      <c r="B156" s="6" t="s">
        <v>13</v>
      </c>
      <c r="C156" s="6" t="s">
        <v>872</v>
      </c>
      <c r="D156" s="2" t="s">
        <v>454</v>
      </c>
      <c r="E156" s="7"/>
      <c r="F156" s="7"/>
      <c r="G156" s="6"/>
      <c r="H156" s="6"/>
      <c r="I156" s="16">
        <v>5</v>
      </c>
      <c r="J156" s="7"/>
      <c r="K156" s="6">
        <v>1</v>
      </c>
      <c r="L156" s="6"/>
      <c r="M156" s="4" t="s">
        <v>853</v>
      </c>
      <c r="N156" s="4" t="s">
        <v>858</v>
      </c>
      <c r="O156" s="4" t="s">
        <v>32</v>
      </c>
      <c r="P156" s="4" t="s">
        <v>870</v>
      </c>
      <c r="Q156" s="5">
        <v>1</v>
      </c>
    </row>
    <row r="157" spans="1:17" ht="15.75" customHeight="1" x14ac:dyDescent="0.2">
      <c r="A157" s="6" t="s">
        <v>450</v>
      </c>
      <c r="B157" s="6" t="s">
        <v>18</v>
      </c>
      <c r="C157" s="6" t="s">
        <v>867</v>
      </c>
      <c r="D157" s="2" t="s">
        <v>455</v>
      </c>
      <c r="E157" s="7"/>
      <c r="F157" s="7"/>
      <c r="G157" s="6">
        <v>5</v>
      </c>
      <c r="H157" s="6"/>
      <c r="I157" s="16">
        <v>4</v>
      </c>
      <c r="J157" s="7" t="s">
        <v>456</v>
      </c>
      <c r="K157" s="6"/>
      <c r="L157" s="6"/>
      <c r="M157" s="4" t="s">
        <v>853</v>
      </c>
      <c r="N157" s="4" t="s">
        <v>457</v>
      </c>
      <c r="O157" s="4" t="s">
        <v>458</v>
      </c>
      <c r="P157" s="4" t="s">
        <v>870</v>
      </c>
      <c r="Q157" s="17">
        <v>4</v>
      </c>
    </row>
    <row r="158" spans="1:17" ht="15.75" customHeight="1" x14ac:dyDescent="0.2">
      <c r="A158" s="6" t="s">
        <v>450</v>
      </c>
      <c r="B158" s="6" t="s">
        <v>22</v>
      </c>
      <c r="C158" s="6" t="s">
        <v>871</v>
      </c>
      <c r="D158" s="2" t="s">
        <v>459</v>
      </c>
      <c r="E158" s="7">
        <v>5</v>
      </c>
      <c r="F158" s="7"/>
      <c r="G158" s="6"/>
      <c r="H158" s="6"/>
      <c r="I158" s="7"/>
      <c r="J158" s="7"/>
      <c r="K158" s="6">
        <v>4</v>
      </c>
      <c r="L158" s="6" t="s">
        <v>460</v>
      </c>
      <c r="M158" s="4" t="s">
        <v>461</v>
      </c>
      <c r="N158" s="4" t="s">
        <v>858</v>
      </c>
      <c r="O158" s="4" t="s">
        <v>865</v>
      </c>
      <c r="P158" s="4" t="s">
        <v>409</v>
      </c>
      <c r="Q158" s="5">
        <v>4</v>
      </c>
    </row>
    <row r="159" spans="1:17" ht="15.75" customHeight="1" x14ac:dyDescent="0.2">
      <c r="A159" s="6" t="s">
        <v>450</v>
      </c>
      <c r="B159" s="6" t="s">
        <v>28</v>
      </c>
      <c r="C159" s="6" t="s">
        <v>872</v>
      </c>
      <c r="D159" s="2" t="s">
        <v>462</v>
      </c>
      <c r="E159" s="7"/>
      <c r="F159" s="7"/>
      <c r="G159" s="6"/>
      <c r="H159" s="6"/>
      <c r="I159" s="16">
        <v>5</v>
      </c>
      <c r="J159" s="7"/>
      <c r="K159" s="6">
        <v>2</v>
      </c>
      <c r="L159" s="6" t="s">
        <v>463</v>
      </c>
      <c r="M159" s="4" t="s">
        <v>853</v>
      </c>
      <c r="N159" s="4" t="s">
        <v>869</v>
      </c>
      <c r="O159" s="4" t="s">
        <v>875</v>
      </c>
      <c r="P159" s="4" t="s">
        <v>464</v>
      </c>
      <c r="Q159" s="17">
        <v>5</v>
      </c>
    </row>
    <row r="160" spans="1:17" ht="15.75" customHeight="1" x14ac:dyDescent="0.2">
      <c r="A160" s="6" t="s">
        <v>450</v>
      </c>
      <c r="B160" s="6" t="s">
        <v>33</v>
      </c>
      <c r="C160" s="6" t="s">
        <v>871</v>
      </c>
      <c r="D160" s="2" t="s">
        <v>465</v>
      </c>
      <c r="E160" s="7">
        <v>5</v>
      </c>
      <c r="F160" s="7"/>
      <c r="G160" s="6"/>
      <c r="H160" s="6"/>
      <c r="I160" s="7"/>
      <c r="J160" s="7"/>
      <c r="K160" s="6">
        <v>5</v>
      </c>
      <c r="L160" s="6"/>
      <c r="M160" s="4" t="s">
        <v>853</v>
      </c>
      <c r="N160" s="4" t="s">
        <v>858</v>
      </c>
      <c r="O160" s="4" t="s">
        <v>865</v>
      </c>
      <c r="P160" s="4" t="s">
        <v>870</v>
      </c>
      <c r="Q160" s="5">
        <f>IF((COUNT(E160)+COUNT(G160)+COUNT(I160)+COUNT(K160))=2,
   IF(MIN(E160,G160,I160,K160)=MAX(E160,G160,I160,K160),MIN(E160,G160,I160,K160),"final grade?"),
"final grade?")</f>
        <v>5</v>
      </c>
    </row>
    <row r="161" spans="1:17" ht="15.75" customHeight="1" x14ac:dyDescent="0.2">
      <c r="A161" s="6" t="s">
        <v>450</v>
      </c>
      <c r="B161" s="6" t="s">
        <v>39</v>
      </c>
      <c r="C161" s="6" t="s">
        <v>872</v>
      </c>
      <c r="D161" s="15" t="s">
        <v>466</v>
      </c>
      <c r="E161" s="7"/>
      <c r="F161" s="7"/>
      <c r="G161" s="6"/>
      <c r="H161" s="6"/>
      <c r="I161" s="16">
        <v>5</v>
      </c>
      <c r="J161" s="7"/>
      <c r="K161" s="6">
        <v>3</v>
      </c>
      <c r="L161" s="6" t="s">
        <v>467</v>
      </c>
      <c r="M161" s="4" t="s">
        <v>853</v>
      </c>
      <c r="N161" s="4" t="s">
        <v>858</v>
      </c>
      <c r="O161" s="4" t="s">
        <v>468</v>
      </c>
      <c r="P161" s="4" t="s">
        <v>469</v>
      </c>
      <c r="Q161" s="5">
        <v>2</v>
      </c>
    </row>
    <row r="162" spans="1:17" ht="15.75" customHeight="1" x14ac:dyDescent="0.2">
      <c r="A162" s="6" t="s">
        <v>470</v>
      </c>
      <c r="B162" s="6" t="s">
        <v>6</v>
      </c>
      <c r="C162" s="6" t="s">
        <v>866</v>
      </c>
      <c r="D162" s="2" t="s">
        <v>471</v>
      </c>
      <c r="E162" s="7">
        <v>4</v>
      </c>
      <c r="F162" s="7" t="s">
        <v>472</v>
      </c>
      <c r="G162" s="6"/>
      <c r="H162" s="6"/>
      <c r="I162" s="16">
        <v>4</v>
      </c>
      <c r="J162" s="7" t="s">
        <v>473</v>
      </c>
      <c r="K162" s="6"/>
      <c r="L162" s="6"/>
      <c r="M162" s="4" t="s">
        <v>853</v>
      </c>
      <c r="N162" s="4" t="s">
        <v>858</v>
      </c>
      <c r="O162" s="4" t="s">
        <v>865</v>
      </c>
      <c r="P162" s="4" t="s">
        <v>870</v>
      </c>
      <c r="Q162" s="5">
        <v>5</v>
      </c>
    </row>
    <row r="163" spans="1:17" ht="15.75" customHeight="1" x14ac:dyDescent="0.2">
      <c r="A163" s="6" t="s">
        <v>470</v>
      </c>
      <c r="B163" s="6" t="s">
        <v>9</v>
      </c>
      <c r="C163" s="6" t="s">
        <v>871</v>
      </c>
      <c r="D163" s="2" t="s">
        <v>474</v>
      </c>
      <c r="E163" s="7">
        <v>5</v>
      </c>
      <c r="F163" s="7"/>
      <c r="G163" s="6"/>
      <c r="H163" s="6"/>
      <c r="I163" s="7"/>
      <c r="J163" s="7"/>
      <c r="K163" s="6">
        <v>5</v>
      </c>
      <c r="L163" s="6" t="s">
        <v>475</v>
      </c>
      <c r="M163" s="4" t="s">
        <v>853</v>
      </c>
      <c r="N163" s="4" t="s">
        <v>858</v>
      </c>
      <c r="O163" s="4" t="s">
        <v>865</v>
      </c>
      <c r="P163" s="4" t="s">
        <v>870</v>
      </c>
      <c r="Q163" s="5">
        <f>IF((COUNT(E163)+COUNT(G163)+COUNT(I163)+COUNT(K163))=2,
   IF(MIN(E163,G163,I163,K163)=MAX(E163,G163,I163,K163),MIN(E163,G163,I163,K163),"final grade?"),
"final grade?")</f>
        <v>5</v>
      </c>
    </row>
    <row r="164" spans="1:17" ht="15.75" customHeight="1" x14ac:dyDescent="0.2">
      <c r="A164" s="6" t="s">
        <v>470</v>
      </c>
      <c r="B164" s="6" t="s">
        <v>13</v>
      </c>
      <c r="C164" s="6" t="s">
        <v>872</v>
      </c>
      <c r="D164" s="15" t="s">
        <v>476</v>
      </c>
      <c r="E164" s="7"/>
      <c r="F164" s="7"/>
      <c r="G164" s="6"/>
      <c r="H164" s="6"/>
      <c r="I164" s="16">
        <v>1</v>
      </c>
      <c r="J164" s="7" t="s">
        <v>477</v>
      </c>
      <c r="K164" s="6">
        <v>5</v>
      </c>
      <c r="L164" s="6" t="s">
        <v>212</v>
      </c>
      <c r="M164" s="4" t="s">
        <v>853</v>
      </c>
      <c r="N164" s="4" t="s">
        <v>478</v>
      </c>
      <c r="O164" s="4" t="s">
        <v>479</v>
      </c>
      <c r="P164" s="4" t="s">
        <v>480</v>
      </c>
      <c r="Q164" s="17">
        <v>3</v>
      </c>
    </row>
    <row r="165" spans="1:17" ht="15.75" customHeight="1" x14ac:dyDescent="0.2">
      <c r="A165" s="6" t="s">
        <v>470</v>
      </c>
      <c r="B165" s="6" t="s">
        <v>18</v>
      </c>
      <c r="C165" s="6" t="s">
        <v>866</v>
      </c>
      <c r="D165" s="2" t="s">
        <v>481</v>
      </c>
      <c r="E165" s="7">
        <v>5</v>
      </c>
      <c r="F165" s="7"/>
      <c r="G165" s="6"/>
      <c r="H165" s="6"/>
      <c r="I165" s="16">
        <v>5</v>
      </c>
      <c r="J165" s="7"/>
      <c r="K165" s="6"/>
      <c r="L165" s="6"/>
      <c r="M165" s="4" t="s">
        <v>853</v>
      </c>
      <c r="N165" s="4" t="s">
        <v>858</v>
      </c>
      <c r="O165" s="4" t="s">
        <v>865</v>
      </c>
      <c r="P165" s="4" t="s">
        <v>870</v>
      </c>
      <c r="Q165" s="5">
        <f>IF((COUNT(E165)+COUNT(G165)+COUNT(I165)+COUNT(K165))=2,
   IF(MIN(E165,G165,I165,K165)=MAX(E165,G165,I165,K165),MIN(E165,G165,I165,K165),"final grade?"),
"final grade?")</f>
        <v>5</v>
      </c>
    </row>
    <row r="166" spans="1:17" ht="15.75" customHeight="1" x14ac:dyDescent="0.2">
      <c r="A166" s="6" t="s">
        <v>470</v>
      </c>
      <c r="B166" s="6" t="s">
        <v>22</v>
      </c>
      <c r="C166" s="6" t="s">
        <v>867</v>
      </c>
      <c r="D166" s="2" t="s">
        <v>482</v>
      </c>
      <c r="E166" s="7"/>
      <c r="F166" s="7"/>
      <c r="G166" s="6">
        <v>5</v>
      </c>
      <c r="H166" s="6"/>
      <c r="I166" s="16">
        <v>4</v>
      </c>
      <c r="J166" s="7" t="s">
        <v>483</v>
      </c>
      <c r="K166" s="6"/>
      <c r="L166" s="6"/>
      <c r="M166" s="4" t="s">
        <v>853</v>
      </c>
      <c r="N166" s="4" t="s">
        <v>484</v>
      </c>
      <c r="O166" s="4" t="s">
        <v>485</v>
      </c>
      <c r="P166" s="4" t="s">
        <v>870</v>
      </c>
      <c r="Q166" s="17">
        <v>5</v>
      </c>
    </row>
    <row r="167" spans="1:17" ht="15.75" customHeight="1" x14ac:dyDescent="0.2">
      <c r="A167" s="6" t="s">
        <v>470</v>
      </c>
      <c r="B167" s="6" t="s">
        <v>28</v>
      </c>
      <c r="C167" s="6" t="s">
        <v>873</v>
      </c>
      <c r="D167" s="2" t="s">
        <v>486</v>
      </c>
      <c r="E167" s="7"/>
      <c r="F167" s="7"/>
      <c r="G167" s="6">
        <v>5</v>
      </c>
      <c r="H167" s="6" t="s">
        <v>487</v>
      </c>
      <c r="I167" s="7"/>
      <c r="J167" s="7"/>
      <c r="K167" s="6">
        <v>2</v>
      </c>
      <c r="L167" s="6" t="s">
        <v>197</v>
      </c>
      <c r="M167" s="4" t="s">
        <v>853</v>
      </c>
      <c r="N167" s="4" t="s">
        <v>488</v>
      </c>
      <c r="O167" s="4" t="s">
        <v>865</v>
      </c>
      <c r="P167" s="4" t="s">
        <v>38</v>
      </c>
      <c r="Q167" s="5">
        <v>3</v>
      </c>
    </row>
    <row r="168" spans="1:17" ht="15.75" customHeight="1" x14ac:dyDescent="0.2">
      <c r="A168" s="6" t="s">
        <v>470</v>
      </c>
      <c r="B168" s="6" t="s">
        <v>33</v>
      </c>
      <c r="C168" s="6" t="s">
        <v>859</v>
      </c>
      <c r="D168" s="15" t="s">
        <v>489</v>
      </c>
      <c r="E168" s="7">
        <v>4</v>
      </c>
      <c r="F168" s="7" t="s">
        <v>490</v>
      </c>
      <c r="G168" s="6">
        <v>5</v>
      </c>
      <c r="H168" s="6"/>
      <c r="I168" s="7"/>
      <c r="J168" s="7"/>
      <c r="K168" s="6"/>
      <c r="L168" s="6"/>
      <c r="M168" s="4" t="s">
        <v>491</v>
      </c>
      <c r="N168" s="4" t="s">
        <v>492</v>
      </c>
      <c r="O168" s="4" t="s">
        <v>865</v>
      </c>
      <c r="P168" s="4" t="s">
        <v>493</v>
      </c>
      <c r="Q168" s="5">
        <v>5</v>
      </c>
    </row>
    <row r="169" spans="1:17" ht="15.75" customHeight="1" x14ac:dyDescent="0.2">
      <c r="A169" s="6" t="s">
        <v>470</v>
      </c>
      <c r="B169" s="6" t="s">
        <v>39</v>
      </c>
      <c r="C169" s="6" t="s">
        <v>871</v>
      </c>
      <c r="D169" s="2" t="s">
        <v>494</v>
      </c>
      <c r="E169" s="7">
        <v>4</v>
      </c>
      <c r="F169" s="7" t="s">
        <v>421</v>
      </c>
      <c r="G169" s="6"/>
      <c r="H169" s="6"/>
      <c r="I169" s="7"/>
      <c r="J169" s="7"/>
      <c r="K169" s="6">
        <v>5</v>
      </c>
      <c r="L169" s="6" t="s">
        <v>495</v>
      </c>
      <c r="M169" s="4" t="s">
        <v>853</v>
      </c>
      <c r="N169" s="4" t="s">
        <v>858</v>
      </c>
      <c r="O169" s="4" t="s">
        <v>865</v>
      </c>
      <c r="P169" s="4" t="s">
        <v>496</v>
      </c>
      <c r="Q169" s="5">
        <v>5</v>
      </c>
    </row>
    <row r="170" spans="1:17" ht="15.75" customHeight="1" x14ac:dyDescent="0.2">
      <c r="A170" s="6" t="s">
        <v>497</v>
      </c>
      <c r="B170" s="6" t="s">
        <v>6</v>
      </c>
      <c r="C170" s="6" t="s">
        <v>873</v>
      </c>
      <c r="D170" s="2" t="s">
        <v>498</v>
      </c>
      <c r="E170" s="7"/>
      <c r="F170" s="7"/>
      <c r="G170" s="6">
        <v>3</v>
      </c>
      <c r="H170" s="6" t="s">
        <v>74</v>
      </c>
      <c r="I170" s="7"/>
      <c r="J170" s="7"/>
      <c r="K170" s="6">
        <v>4</v>
      </c>
      <c r="L170" s="6" t="s">
        <v>499</v>
      </c>
      <c r="M170" s="4" t="s">
        <v>853</v>
      </c>
      <c r="N170" s="4" t="s">
        <v>500</v>
      </c>
      <c r="O170" s="4" t="s">
        <v>865</v>
      </c>
      <c r="P170" s="4" t="s">
        <v>501</v>
      </c>
      <c r="Q170" s="5">
        <v>3</v>
      </c>
    </row>
    <row r="171" spans="1:17" ht="15.75" customHeight="1" x14ac:dyDescent="0.2">
      <c r="A171" s="6" t="s">
        <v>497</v>
      </c>
      <c r="B171" s="6" t="s">
        <v>9</v>
      </c>
      <c r="C171" s="6" t="s">
        <v>872</v>
      </c>
      <c r="D171" s="2" t="s">
        <v>502</v>
      </c>
      <c r="E171" s="7"/>
      <c r="F171" s="7"/>
      <c r="G171" s="6"/>
      <c r="H171" s="6"/>
      <c r="I171" s="16">
        <v>2</v>
      </c>
      <c r="J171" s="7" t="s">
        <v>430</v>
      </c>
      <c r="K171" s="6">
        <v>3</v>
      </c>
      <c r="L171" s="6" t="s">
        <v>503</v>
      </c>
      <c r="M171" s="4" t="s">
        <v>853</v>
      </c>
      <c r="N171" s="4" t="s">
        <v>858</v>
      </c>
      <c r="O171" s="4" t="s">
        <v>50</v>
      </c>
      <c r="P171" s="4" t="s">
        <v>504</v>
      </c>
      <c r="Q171" s="5">
        <v>3</v>
      </c>
    </row>
    <row r="172" spans="1:17" ht="15.75" customHeight="1" x14ac:dyDescent="0.2">
      <c r="A172" s="6" t="s">
        <v>497</v>
      </c>
      <c r="B172" s="6" t="s">
        <v>13</v>
      </c>
      <c r="C172" s="6" t="s">
        <v>871</v>
      </c>
      <c r="D172" s="15" t="s">
        <v>505</v>
      </c>
      <c r="E172" s="7">
        <v>4</v>
      </c>
      <c r="F172" s="7" t="s">
        <v>48</v>
      </c>
      <c r="G172" s="6"/>
      <c r="H172" s="6"/>
      <c r="I172" s="7"/>
      <c r="J172" s="7"/>
      <c r="K172" s="6">
        <v>1</v>
      </c>
      <c r="L172" s="6"/>
      <c r="M172" s="10" t="s">
        <v>876</v>
      </c>
      <c r="N172" s="4" t="s">
        <v>506</v>
      </c>
      <c r="O172" s="4" t="s">
        <v>865</v>
      </c>
      <c r="P172" s="10" t="s">
        <v>862</v>
      </c>
      <c r="Q172" s="5">
        <v>3</v>
      </c>
    </row>
    <row r="173" spans="1:17" ht="15.75" customHeight="1" x14ac:dyDescent="0.2">
      <c r="A173" s="6" t="s">
        <v>497</v>
      </c>
      <c r="B173" s="6" t="s">
        <v>18</v>
      </c>
      <c r="C173" s="6" t="s">
        <v>867</v>
      </c>
      <c r="D173" s="2" t="s">
        <v>507</v>
      </c>
      <c r="E173" s="7"/>
      <c r="F173" s="7"/>
      <c r="G173" s="6">
        <v>3</v>
      </c>
      <c r="H173" s="6" t="s">
        <v>187</v>
      </c>
      <c r="I173" s="16">
        <v>3</v>
      </c>
      <c r="J173" s="7" t="s">
        <v>158</v>
      </c>
      <c r="K173" s="6"/>
      <c r="L173" s="6"/>
      <c r="M173" s="4" t="s">
        <v>853</v>
      </c>
      <c r="N173" s="4" t="s">
        <v>858</v>
      </c>
      <c r="O173" s="4" t="s">
        <v>865</v>
      </c>
      <c r="P173" s="4" t="s">
        <v>870</v>
      </c>
      <c r="Q173" s="5">
        <f>IF((COUNT(E173)+COUNT(G173)+COUNT(I173)+COUNT(K173))=2,
   IF(MIN(E173,G173,I173,K173)=MAX(E173,G173,I173,K173),MIN(E173,G173,I173,K173),"final grade?"),
"final grade?")</f>
        <v>3</v>
      </c>
    </row>
    <row r="174" spans="1:17" ht="15.75" customHeight="1" x14ac:dyDescent="0.2">
      <c r="A174" s="6" t="s">
        <v>497</v>
      </c>
      <c r="B174" s="6" t="s">
        <v>22</v>
      </c>
      <c r="C174" s="6" t="s">
        <v>873</v>
      </c>
      <c r="D174" s="15" t="s">
        <v>508</v>
      </c>
      <c r="E174" s="7"/>
      <c r="F174" s="7"/>
      <c r="G174" s="6">
        <v>5</v>
      </c>
      <c r="H174" s="6"/>
      <c r="I174" s="7"/>
      <c r="J174" s="7"/>
      <c r="K174" s="6">
        <v>4</v>
      </c>
      <c r="L174" s="6" t="s">
        <v>509</v>
      </c>
      <c r="M174" s="4" t="s">
        <v>853</v>
      </c>
      <c r="N174" s="4" t="s">
        <v>510</v>
      </c>
      <c r="O174" s="4" t="s">
        <v>865</v>
      </c>
      <c r="P174" s="4" t="s">
        <v>176</v>
      </c>
      <c r="Q174" s="5">
        <v>5</v>
      </c>
    </row>
    <row r="175" spans="1:17" ht="15.75" customHeight="1" x14ac:dyDescent="0.2">
      <c r="A175" s="6" t="s">
        <v>497</v>
      </c>
      <c r="B175" s="6" t="s">
        <v>28</v>
      </c>
      <c r="C175" s="6" t="s">
        <v>859</v>
      </c>
      <c r="D175" s="2" t="s">
        <v>511</v>
      </c>
      <c r="E175" s="7">
        <v>5</v>
      </c>
      <c r="F175" s="7"/>
      <c r="G175" s="6">
        <v>5</v>
      </c>
      <c r="H175" s="6"/>
      <c r="I175" s="7"/>
      <c r="J175" s="7"/>
      <c r="K175" s="6"/>
      <c r="L175" s="6"/>
      <c r="M175" s="4" t="s">
        <v>853</v>
      </c>
      <c r="N175" s="4" t="s">
        <v>858</v>
      </c>
      <c r="O175" s="4" t="s">
        <v>865</v>
      </c>
      <c r="P175" s="4" t="s">
        <v>870</v>
      </c>
      <c r="Q175" s="5">
        <f>IF((COUNT(E175)+COUNT(G175)+COUNT(I175)+COUNT(K175))=2,
   IF(MIN(E175,G175,I175,K175)=MAX(E175,G175,I175,K175),MIN(E175,G175,I175,K175),"final grade?"),
"final grade?")</f>
        <v>5</v>
      </c>
    </row>
    <row r="176" spans="1:17" ht="15.75" customHeight="1" x14ac:dyDescent="0.2">
      <c r="A176" s="6" t="s">
        <v>497</v>
      </c>
      <c r="B176" s="6" t="s">
        <v>33</v>
      </c>
      <c r="C176" s="6" t="s">
        <v>872</v>
      </c>
      <c r="D176" s="15" t="s">
        <v>512</v>
      </c>
      <c r="E176" s="7"/>
      <c r="F176" s="7"/>
      <c r="G176" s="6"/>
      <c r="H176" s="6"/>
      <c r="I176" s="16">
        <v>5</v>
      </c>
      <c r="J176" s="7"/>
      <c r="K176" s="6">
        <v>1</v>
      </c>
      <c r="L176" s="6" t="s">
        <v>167</v>
      </c>
      <c r="M176" s="4" t="s">
        <v>853</v>
      </c>
      <c r="N176" s="4" t="s">
        <v>858</v>
      </c>
      <c r="O176" s="4" t="s">
        <v>50</v>
      </c>
      <c r="P176" s="4" t="s">
        <v>513</v>
      </c>
      <c r="Q176" s="5">
        <v>3</v>
      </c>
    </row>
    <row r="177" spans="1:17" ht="15.75" customHeight="1" x14ac:dyDescent="0.2">
      <c r="A177" s="6" t="s">
        <v>497</v>
      </c>
      <c r="B177" s="6" t="s">
        <v>39</v>
      </c>
      <c r="C177" s="6" t="s">
        <v>872</v>
      </c>
      <c r="D177" s="2" t="s">
        <v>514</v>
      </c>
      <c r="E177" s="7"/>
      <c r="F177" s="7"/>
      <c r="G177" s="6"/>
      <c r="H177" s="6"/>
      <c r="I177" s="16">
        <v>5</v>
      </c>
      <c r="J177" s="7"/>
      <c r="K177" s="6">
        <v>4</v>
      </c>
      <c r="L177" s="6" t="s">
        <v>515</v>
      </c>
      <c r="M177" s="4" t="s">
        <v>853</v>
      </c>
      <c r="N177" s="4" t="s">
        <v>858</v>
      </c>
      <c r="O177" s="4" t="s">
        <v>865</v>
      </c>
      <c r="P177" s="4" t="s">
        <v>516</v>
      </c>
      <c r="Q177" s="5">
        <v>5</v>
      </c>
    </row>
    <row r="178" spans="1:17" ht="15.75" customHeight="1" x14ac:dyDescent="0.2">
      <c r="A178" s="6" t="s">
        <v>517</v>
      </c>
      <c r="B178" s="6" t="s">
        <v>6</v>
      </c>
      <c r="C178" s="6" t="s">
        <v>871</v>
      </c>
      <c r="D178" s="2" t="s">
        <v>518</v>
      </c>
      <c r="E178" s="7">
        <v>5</v>
      </c>
      <c r="F178" s="7"/>
      <c r="G178" s="6"/>
      <c r="H178" s="6"/>
      <c r="I178" s="7"/>
      <c r="J178" s="7"/>
      <c r="K178" s="6">
        <v>5</v>
      </c>
      <c r="L178" s="6" t="s">
        <v>519</v>
      </c>
      <c r="M178" s="4" t="s">
        <v>853</v>
      </c>
      <c r="N178" s="4" t="s">
        <v>858</v>
      </c>
      <c r="O178" s="4" t="s">
        <v>865</v>
      </c>
      <c r="P178" s="4" t="s">
        <v>870</v>
      </c>
      <c r="Q178" s="5">
        <f>IF((COUNT(E178)+COUNT(G178)+COUNT(I178)+COUNT(K178))=2,
   IF(MIN(E178,G178,I178,K178)=MAX(E178,G178,I178,K178),MIN(E178,G178,I178,K178),"final grade?"),
"final grade?")</f>
        <v>5</v>
      </c>
    </row>
    <row r="179" spans="1:17" ht="15.75" customHeight="1" x14ac:dyDescent="0.2">
      <c r="A179" s="6" t="s">
        <v>517</v>
      </c>
      <c r="B179" s="6" t="s">
        <v>9</v>
      </c>
      <c r="C179" s="6" t="s">
        <v>866</v>
      </c>
      <c r="D179" s="2" t="s">
        <v>520</v>
      </c>
      <c r="E179" s="7">
        <v>2</v>
      </c>
      <c r="F179" s="7" t="s">
        <v>521</v>
      </c>
      <c r="G179" s="6"/>
      <c r="H179" s="6"/>
      <c r="I179" s="16">
        <v>3</v>
      </c>
      <c r="J179" s="7" t="s">
        <v>406</v>
      </c>
      <c r="K179" s="6"/>
      <c r="L179" s="6"/>
      <c r="M179" s="4" t="s">
        <v>522</v>
      </c>
      <c r="N179" s="4" t="s">
        <v>858</v>
      </c>
      <c r="O179" s="4" t="s">
        <v>856</v>
      </c>
      <c r="P179" s="4" t="s">
        <v>870</v>
      </c>
      <c r="Q179" s="5">
        <v>2</v>
      </c>
    </row>
    <row r="180" spans="1:17" ht="15.75" customHeight="1" x14ac:dyDescent="0.2">
      <c r="A180" s="6" t="s">
        <v>517</v>
      </c>
      <c r="B180" s="6" t="s">
        <v>13</v>
      </c>
      <c r="C180" s="6" t="s">
        <v>872</v>
      </c>
      <c r="D180" s="15" t="s">
        <v>523</v>
      </c>
      <c r="E180" s="7"/>
      <c r="F180" s="7"/>
      <c r="G180" s="6"/>
      <c r="H180" s="6"/>
      <c r="I180" s="16">
        <v>5</v>
      </c>
      <c r="J180" s="7"/>
      <c r="K180" s="6">
        <v>3</v>
      </c>
      <c r="L180" s="6" t="s">
        <v>524</v>
      </c>
      <c r="M180" s="4" t="s">
        <v>853</v>
      </c>
      <c r="N180" s="4" t="s">
        <v>858</v>
      </c>
      <c r="O180" s="4" t="s">
        <v>865</v>
      </c>
      <c r="P180" s="4" t="s">
        <v>525</v>
      </c>
      <c r="Q180" s="5">
        <v>5</v>
      </c>
    </row>
    <row r="181" spans="1:17" ht="15.75" customHeight="1" x14ac:dyDescent="0.2">
      <c r="A181" s="6" t="s">
        <v>517</v>
      </c>
      <c r="B181" s="6" t="s">
        <v>18</v>
      </c>
      <c r="C181" s="6" t="s">
        <v>859</v>
      </c>
      <c r="D181" s="2" t="s">
        <v>526</v>
      </c>
      <c r="E181" s="7">
        <v>3</v>
      </c>
      <c r="F181" s="7" t="s">
        <v>251</v>
      </c>
      <c r="G181" s="6">
        <v>3</v>
      </c>
      <c r="H181" s="6" t="s">
        <v>187</v>
      </c>
      <c r="I181" s="7"/>
      <c r="J181" s="7"/>
      <c r="K181" s="6"/>
      <c r="L181" s="6"/>
      <c r="M181" s="4" t="s">
        <v>853</v>
      </c>
      <c r="N181" s="4" t="s">
        <v>858</v>
      </c>
      <c r="O181" s="4" t="s">
        <v>865</v>
      </c>
      <c r="P181" s="4" t="s">
        <v>870</v>
      </c>
      <c r="Q181" s="5">
        <f t="shared" ref="Q181:Q182" si="16">IF((COUNT(E181)+COUNT(G181)+COUNT(I181)+COUNT(K181))=2,
   IF(MIN(E181,G181,I181,K181)=MAX(E181,G181,I181,K181),MIN(E181,G181,I181,K181),"final grade?"),
"final grade?")</f>
        <v>3</v>
      </c>
    </row>
    <row r="182" spans="1:17" ht="15.75" customHeight="1" x14ac:dyDescent="0.2">
      <c r="A182" s="6" t="s">
        <v>517</v>
      </c>
      <c r="B182" s="6" t="s">
        <v>22</v>
      </c>
      <c r="C182" s="6" t="s">
        <v>866</v>
      </c>
      <c r="D182" s="2" t="s">
        <v>527</v>
      </c>
      <c r="E182" s="7">
        <v>4</v>
      </c>
      <c r="F182" s="7" t="s">
        <v>528</v>
      </c>
      <c r="G182" s="6"/>
      <c r="H182" s="6"/>
      <c r="I182" s="16">
        <v>4</v>
      </c>
      <c r="J182" s="7" t="s">
        <v>529</v>
      </c>
      <c r="K182" s="6"/>
      <c r="L182" s="6"/>
      <c r="M182" s="4" t="s">
        <v>853</v>
      </c>
      <c r="N182" s="4" t="s">
        <v>858</v>
      </c>
      <c r="O182" s="4" t="s">
        <v>865</v>
      </c>
      <c r="P182" s="4" t="s">
        <v>870</v>
      </c>
      <c r="Q182" s="5">
        <f t="shared" si="16"/>
        <v>4</v>
      </c>
    </row>
    <row r="183" spans="1:17" ht="15.75" customHeight="1" x14ac:dyDescent="0.2">
      <c r="A183" s="6" t="s">
        <v>517</v>
      </c>
      <c r="B183" s="6" t="s">
        <v>28</v>
      </c>
      <c r="C183" s="6" t="s">
        <v>866</v>
      </c>
      <c r="D183" s="15" t="s">
        <v>530</v>
      </c>
      <c r="E183" s="7">
        <v>4</v>
      </c>
      <c r="F183" s="7" t="s">
        <v>531</v>
      </c>
      <c r="G183" s="6"/>
      <c r="H183" s="6"/>
      <c r="I183" s="16">
        <v>1</v>
      </c>
      <c r="J183" s="7" t="s">
        <v>532</v>
      </c>
      <c r="K183" s="6"/>
      <c r="L183" s="6"/>
      <c r="M183" s="4" t="s">
        <v>533</v>
      </c>
      <c r="N183" s="4" t="s">
        <v>858</v>
      </c>
      <c r="O183" s="4" t="s">
        <v>534</v>
      </c>
      <c r="P183" s="4" t="s">
        <v>870</v>
      </c>
      <c r="Q183" s="5">
        <v>2</v>
      </c>
    </row>
    <row r="184" spans="1:17" ht="15.75" customHeight="1" x14ac:dyDescent="0.2">
      <c r="A184" s="6" t="s">
        <v>517</v>
      </c>
      <c r="B184" s="6" t="s">
        <v>33</v>
      </c>
      <c r="C184" s="6" t="s">
        <v>867</v>
      </c>
      <c r="D184" s="2" t="s">
        <v>535</v>
      </c>
      <c r="E184" s="7"/>
      <c r="F184" s="7"/>
      <c r="G184" s="6">
        <v>4</v>
      </c>
      <c r="H184" s="6" t="s">
        <v>536</v>
      </c>
      <c r="I184" s="16">
        <v>4</v>
      </c>
      <c r="J184" s="7" t="s">
        <v>537</v>
      </c>
      <c r="K184" s="6"/>
      <c r="L184" s="6"/>
      <c r="M184" s="4" t="s">
        <v>853</v>
      </c>
      <c r="N184" s="4" t="s">
        <v>858</v>
      </c>
      <c r="O184" s="4" t="s">
        <v>865</v>
      </c>
      <c r="P184" s="4" t="s">
        <v>870</v>
      </c>
      <c r="Q184" s="5">
        <f>IF((COUNT(E184)+COUNT(G184)+COUNT(I184)+COUNT(K184))=2,
   IF(MIN(E184,G184,I184,K184)=MAX(E184,G184,I184,K184),MIN(E184,G184,I184,K184),"final grade?"),
"final grade?")</f>
        <v>4</v>
      </c>
    </row>
    <row r="185" spans="1:17" ht="15.75" customHeight="1" x14ac:dyDescent="0.2">
      <c r="A185" s="6" t="s">
        <v>517</v>
      </c>
      <c r="B185" s="6" t="s">
        <v>39</v>
      </c>
      <c r="C185" s="6" t="s">
        <v>871</v>
      </c>
      <c r="D185" s="2" t="s">
        <v>538</v>
      </c>
      <c r="E185" s="7">
        <v>3</v>
      </c>
      <c r="F185" s="7" t="s">
        <v>539</v>
      </c>
      <c r="G185" s="6"/>
      <c r="H185" s="6"/>
      <c r="I185" s="7"/>
      <c r="J185" s="7"/>
      <c r="K185" s="6">
        <v>4</v>
      </c>
      <c r="L185" s="6" t="s">
        <v>540</v>
      </c>
      <c r="M185" s="4" t="s">
        <v>541</v>
      </c>
      <c r="N185" s="4" t="s">
        <v>858</v>
      </c>
      <c r="O185" s="4" t="s">
        <v>865</v>
      </c>
      <c r="P185" s="4" t="s">
        <v>542</v>
      </c>
      <c r="Q185" s="5">
        <v>3</v>
      </c>
    </row>
    <row r="186" spans="1:17" ht="15.75" customHeight="1" x14ac:dyDescent="0.2">
      <c r="A186" s="6" t="s">
        <v>543</v>
      </c>
      <c r="B186" s="6" t="s">
        <v>6</v>
      </c>
      <c r="C186" s="6" t="s">
        <v>859</v>
      </c>
      <c r="D186" s="2" t="s">
        <v>544</v>
      </c>
      <c r="E186" s="7">
        <v>5</v>
      </c>
      <c r="F186" s="7"/>
      <c r="G186" s="6">
        <v>5</v>
      </c>
      <c r="H186" s="6"/>
      <c r="I186" s="7"/>
      <c r="J186" s="7"/>
      <c r="K186" s="6"/>
      <c r="L186" s="6"/>
      <c r="M186" s="4" t="s">
        <v>853</v>
      </c>
      <c r="N186" s="4" t="s">
        <v>858</v>
      </c>
      <c r="O186" s="4" t="s">
        <v>865</v>
      </c>
      <c r="P186" s="4" t="s">
        <v>870</v>
      </c>
      <c r="Q186" s="5">
        <f t="shared" ref="Q186:Q187" si="17">IF((COUNT(E186)+COUNT(G186)+COUNT(I186)+COUNT(K186))=2,
   IF(MIN(E186,G186,I186,K186)=MAX(E186,G186,I186,K186),MIN(E186,G186,I186,K186),"final grade?"),
"final grade?")</f>
        <v>5</v>
      </c>
    </row>
    <row r="187" spans="1:17" ht="15.75" customHeight="1" x14ac:dyDescent="0.2">
      <c r="A187" s="6" t="s">
        <v>543</v>
      </c>
      <c r="B187" s="6" t="s">
        <v>9</v>
      </c>
      <c r="C187" s="6" t="s">
        <v>871</v>
      </c>
      <c r="D187" s="2" t="s">
        <v>545</v>
      </c>
      <c r="E187" s="7">
        <v>5</v>
      </c>
      <c r="F187" s="7"/>
      <c r="G187" s="6"/>
      <c r="H187" s="6"/>
      <c r="I187" s="7"/>
      <c r="J187" s="7"/>
      <c r="K187" s="6">
        <v>5</v>
      </c>
      <c r="L187" s="6"/>
      <c r="M187" s="4" t="s">
        <v>853</v>
      </c>
      <c r="N187" s="4" t="s">
        <v>858</v>
      </c>
      <c r="O187" s="4" t="s">
        <v>865</v>
      </c>
      <c r="P187" s="4" t="s">
        <v>870</v>
      </c>
      <c r="Q187" s="5">
        <f t="shared" si="17"/>
        <v>5</v>
      </c>
    </row>
    <row r="188" spans="1:17" ht="15.75" customHeight="1" x14ac:dyDescent="0.2">
      <c r="A188" s="6" t="s">
        <v>543</v>
      </c>
      <c r="B188" s="6" t="s">
        <v>13</v>
      </c>
      <c r="C188" s="6" t="s">
        <v>867</v>
      </c>
      <c r="D188" s="2" t="s">
        <v>546</v>
      </c>
      <c r="E188" s="7"/>
      <c r="F188" s="7"/>
      <c r="G188" s="6">
        <v>2</v>
      </c>
      <c r="H188" s="6" t="s">
        <v>547</v>
      </c>
      <c r="I188" s="16">
        <v>5</v>
      </c>
      <c r="J188" s="7"/>
      <c r="K188" s="6"/>
      <c r="L188" s="6"/>
      <c r="M188" s="4" t="s">
        <v>853</v>
      </c>
      <c r="N188" s="4" t="s">
        <v>50</v>
      </c>
      <c r="O188" s="4" t="s">
        <v>863</v>
      </c>
      <c r="P188" s="4" t="s">
        <v>870</v>
      </c>
      <c r="Q188" s="17">
        <v>3</v>
      </c>
    </row>
    <row r="189" spans="1:17" ht="15.75" customHeight="1" x14ac:dyDescent="0.2">
      <c r="A189" s="6" t="s">
        <v>543</v>
      </c>
      <c r="B189" s="6" t="s">
        <v>18</v>
      </c>
      <c r="C189" s="6" t="s">
        <v>866</v>
      </c>
      <c r="D189" s="2" t="s">
        <v>548</v>
      </c>
      <c r="E189" s="7"/>
      <c r="F189" s="7" t="s">
        <v>549</v>
      </c>
      <c r="G189" s="6"/>
      <c r="H189" s="6"/>
      <c r="I189" s="16">
        <v>1</v>
      </c>
      <c r="J189" s="7" t="s">
        <v>53</v>
      </c>
      <c r="K189" s="6"/>
      <c r="L189" s="6"/>
      <c r="M189" s="4" t="s">
        <v>853</v>
      </c>
      <c r="N189" s="4" t="s">
        <v>858</v>
      </c>
      <c r="O189" s="4" t="s">
        <v>865</v>
      </c>
      <c r="P189" s="4" t="s">
        <v>870</v>
      </c>
      <c r="Q189" s="5">
        <v>1</v>
      </c>
    </row>
    <row r="190" spans="1:17" ht="15.75" customHeight="1" x14ac:dyDescent="0.2">
      <c r="A190" s="6" t="s">
        <v>543</v>
      </c>
      <c r="B190" s="6" t="s">
        <v>22</v>
      </c>
      <c r="C190" s="6" t="s">
        <v>873</v>
      </c>
      <c r="D190" s="2" t="s">
        <v>550</v>
      </c>
      <c r="E190" s="7"/>
      <c r="F190" s="7"/>
      <c r="G190" s="6">
        <v>4</v>
      </c>
      <c r="H190" s="6" t="s">
        <v>62</v>
      </c>
      <c r="I190" s="7"/>
      <c r="J190" s="7"/>
      <c r="K190" s="6">
        <v>3</v>
      </c>
      <c r="L190" s="6" t="s">
        <v>551</v>
      </c>
      <c r="M190" s="4" t="s">
        <v>853</v>
      </c>
      <c r="N190" s="4" t="s">
        <v>50</v>
      </c>
      <c r="O190" s="4" t="s">
        <v>865</v>
      </c>
      <c r="P190" s="4" t="s">
        <v>870</v>
      </c>
      <c r="Q190" s="5">
        <v>3</v>
      </c>
    </row>
    <row r="191" spans="1:17" ht="15.75" customHeight="1" x14ac:dyDescent="0.2">
      <c r="A191" s="6" t="s">
        <v>543</v>
      </c>
      <c r="B191" s="6" t="s">
        <v>28</v>
      </c>
      <c r="C191" s="6" t="s">
        <v>867</v>
      </c>
      <c r="D191" s="2" t="s">
        <v>552</v>
      </c>
      <c r="E191" s="7"/>
      <c r="F191" s="7"/>
      <c r="G191" s="6">
        <v>2</v>
      </c>
      <c r="H191" s="6" t="s">
        <v>553</v>
      </c>
      <c r="I191" s="16">
        <v>5</v>
      </c>
      <c r="J191" s="7" t="s">
        <v>554</v>
      </c>
      <c r="K191" s="6"/>
      <c r="L191" s="6"/>
      <c r="M191" s="4" t="s">
        <v>853</v>
      </c>
      <c r="N191" s="4" t="s">
        <v>858</v>
      </c>
      <c r="O191" s="4" t="s">
        <v>68</v>
      </c>
      <c r="P191" s="4" t="s">
        <v>870</v>
      </c>
      <c r="Q191" s="5">
        <v>2</v>
      </c>
    </row>
    <row r="192" spans="1:17" ht="15.75" customHeight="1" x14ac:dyDescent="0.2">
      <c r="A192" s="6" t="s">
        <v>543</v>
      </c>
      <c r="B192" s="6" t="s">
        <v>33</v>
      </c>
      <c r="C192" s="6" t="s">
        <v>859</v>
      </c>
      <c r="D192" s="2" t="s">
        <v>555</v>
      </c>
      <c r="E192" s="7">
        <v>3</v>
      </c>
      <c r="F192" s="7" t="s">
        <v>11</v>
      </c>
      <c r="G192" s="6">
        <v>3</v>
      </c>
      <c r="H192" s="6" t="s">
        <v>42</v>
      </c>
      <c r="I192" s="7"/>
      <c r="J192" s="7"/>
      <c r="K192" s="6"/>
      <c r="L192" s="6"/>
      <c r="M192" s="4" t="s">
        <v>853</v>
      </c>
      <c r="N192" s="4" t="s">
        <v>858</v>
      </c>
      <c r="O192" s="4" t="s">
        <v>865</v>
      </c>
      <c r="P192" s="4" t="s">
        <v>870</v>
      </c>
      <c r="Q192" s="5">
        <f t="shared" ref="Q192:Q196" si="18">IF((COUNT(E192)+COUNT(G192)+COUNT(I192)+COUNT(K192))=2,
   IF(MIN(E192,G192,I192,K192)=MAX(E192,G192,I192,K192),MIN(E192,G192,I192,K192),"final grade?"),
"final grade?")</f>
        <v>3</v>
      </c>
    </row>
    <row r="193" spans="1:17" ht="15.75" customHeight="1" x14ac:dyDescent="0.2">
      <c r="A193" s="6" t="s">
        <v>543</v>
      </c>
      <c r="B193" s="6" t="s">
        <v>39</v>
      </c>
      <c r="C193" s="6" t="s">
        <v>872</v>
      </c>
      <c r="D193" s="2" t="s">
        <v>556</v>
      </c>
      <c r="E193" s="7"/>
      <c r="F193" s="7"/>
      <c r="G193" s="6"/>
      <c r="H193" s="6"/>
      <c r="I193" s="16">
        <v>1</v>
      </c>
      <c r="J193" s="7" t="s">
        <v>143</v>
      </c>
      <c r="K193" s="6">
        <v>1</v>
      </c>
      <c r="L193" s="6" t="s">
        <v>557</v>
      </c>
      <c r="M193" s="4" t="s">
        <v>853</v>
      </c>
      <c r="N193" s="4" t="s">
        <v>858</v>
      </c>
      <c r="O193" s="4" t="s">
        <v>865</v>
      </c>
      <c r="P193" s="4" t="s">
        <v>870</v>
      </c>
      <c r="Q193" s="5">
        <f t="shared" si="18"/>
        <v>1</v>
      </c>
    </row>
    <row r="194" spans="1:17" ht="15.75" customHeight="1" x14ac:dyDescent="0.2">
      <c r="A194" s="6" t="s">
        <v>558</v>
      </c>
      <c r="B194" s="6" t="s">
        <v>6</v>
      </c>
      <c r="C194" s="6" t="s">
        <v>867</v>
      </c>
      <c r="D194" s="2" t="s">
        <v>559</v>
      </c>
      <c r="E194" s="7"/>
      <c r="F194" s="7"/>
      <c r="G194" s="6">
        <v>5</v>
      </c>
      <c r="H194" s="6" t="s">
        <v>560</v>
      </c>
      <c r="I194" s="16">
        <v>5</v>
      </c>
      <c r="J194" s="7"/>
      <c r="K194" s="6"/>
      <c r="L194" s="6"/>
      <c r="M194" s="4" t="s">
        <v>853</v>
      </c>
      <c r="N194" s="4" t="s">
        <v>858</v>
      </c>
      <c r="O194" s="4" t="s">
        <v>865</v>
      </c>
      <c r="P194" s="4" t="s">
        <v>870</v>
      </c>
      <c r="Q194" s="5">
        <f t="shared" si="18"/>
        <v>5</v>
      </c>
    </row>
    <row r="195" spans="1:17" ht="15.75" customHeight="1" x14ac:dyDescent="0.2">
      <c r="A195" s="6" t="s">
        <v>558</v>
      </c>
      <c r="B195" s="6" t="s">
        <v>9</v>
      </c>
      <c r="C195" s="6" t="s">
        <v>873</v>
      </c>
      <c r="D195" s="2" t="s">
        <v>561</v>
      </c>
      <c r="E195" s="7"/>
      <c r="F195" s="7"/>
      <c r="G195" s="6">
        <v>3</v>
      </c>
      <c r="H195" s="6" t="s">
        <v>12</v>
      </c>
      <c r="I195" s="7"/>
      <c r="J195" s="7"/>
      <c r="K195" s="6">
        <v>3</v>
      </c>
      <c r="L195" s="6" t="s">
        <v>562</v>
      </c>
      <c r="M195" s="4" t="s">
        <v>853</v>
      </c>
      <c r="N195" s="4" t="s">
        <v>858</v>
      </c>
      <c r="O195" s="4" t="s">
        <v>865</v>
      </c>
      <c r="P195" s="4" t="s">
        <v>870</v>
      </c>
      <c r="Q195" s="5">
        <f t="shared" si="18"/>
        <v>3</v>
      </c>
    </row>
    <row r="196" spans="1:17" ht="15.75" customHeight="1" x14ac:dyDescent="0.2">
      <c r="A196" s="6" t="s">
        <v>558</v>
      </c>
      <c r="B196" s="6" t="s">
        <v>13</v>
      </c>
      <c r="C196" s="6" t="s">
        <v>867</v>
      </c>
      <c r="D196" s="2" t="s">
        <v>563</v>
      </c>
      <c r="E196" s="7"/>
      <c r="F196" s="7"/>
      <c r="G196" s="6">
        <v>3</v>
      </c>
      <c r="H196" s="6" t="s">
        <v>109</v>
      </c>
      <c r="I196" s="16">
        <v>3</v>
      </c>
      <c r="J196" s="7" t="s">
        <v>564</v>
      </c>
      <c r="K196" s="6"/>
      <c r="L196" s="6"/>
      <c r="M196" s="4" t="s">
        <v>853</v>
      </c>
      <c r="N196" s="4" t="s">
        <v>858</v>
      </c>
      <c r="O196" s="4" t="s">
        <v>865</v>
      </c>
      <c r="P196" s="4" t="s">
        <v>870</v>
      </c>
      <c r="Q196" s="5">
        <f t="shared" si="18"/>
        <v>3</v>
      </c>
    </row>
    <row r="197" spans="1:17" ht="15.75" customHeight="1" x14ac:dyDescent="0.2">
      <c r="A197" s="6" t="s">
        <v>558</v>
      </c>
      <c r="B197" s="6" t="s">
        <v>18</v>
      </c>
      <c r="C197" s="6" t="s">
        <v>866</v>
      </c>
      <c r="D197" s="2" t="s">
        <v>565</v>
      </c>
      <c r="E197" s="7">
        <v>2</v>
      </c>
      <c r="F197" s="7" t="s">
        <v>566</v>
      </c>
      <c r="G197" s="6"/>
      <c r="H197" s="6"/>
      <c r="I197" s="16">
        <v>3</v>
      </c>
      <c r="J197" s="7" t="s">
        <v>567</v>
      </c>
      <c r="K197" s="6"/>
      <c r="L197" s="6"/>
      <c r="M197" s="4" t="s">
        <v>50</v>
      </c>
      <c r="N197" s="4" t="s">
        <v>858</v>
      </c>
      <c r="O197" s="4" t="s">
        <v>865</v>
      </c>
      <c r="P197" s="4" t="s">
        <v>870</v>
      </c>
      <c r="Q197" s="5">
        <v>3</v>
      </c>
    </row>
    <row r="198" spans="1:17" ht="15.75" customHeight="1" x14ac:dyDescent="0.2">
      <c r="A198" s="6" t="s">
        <v>558</v>
      </c>
      <c r="B198" s="6" t="s">
        <v>22</v>
      </c>
      <c r="C198" s="6" t="s">
        <v>871</v>
      </c>
      <c r="D198" s="2" t="s">
        <v>568</v>
      </c>
      <c r="E198" s="7">
        <v>1</v>
      </c>
      <c r="F198" s="7" t="s">
        <v>569</v>
      </c>
      <c r="G198" s="6"/>
      <c r="H198" s="6"/>
      <c r="I198" s="7"/>
      <c r="J198" s="7"/>
      <c r="K198" s="6">
        <v>2</v>
      </c>
      <c r="L198" s="6" t="s">
        <v>197</v>
      </c>
      <c r="M198" s="4" t="s">
        <v>570</v>
      </c>
      <c r="N198" s="4" t="s">
        <v>858</v>
      </c>
      <c r="O198" s="4" t="s">
        <v>865</v>
      </c>
      <c r="P198" s="4" t="s">
        <v>571</v>
      </c>
      <c r="Q198" s="5">
        <v>2</v>
      </c>
    </row>
    <row r="199" spans="1:17" ht="15.75" customHeight="1" x14ac:dyDescent="0.2">
      <c r="A199" s="6" t="s">
        <v>558</v>
      </c>
      <c r="B199" s="6" t="s">
        <v>28</v>
      </c>
      <c r="C199" s="6" t="s">
        <v>872</v>
      </c>
      <c r="D199" s="2" t="s">
        <v>572</v>
      </c>
      <c r="E199" s="7"/>
      <c r="F199" s="7"/>
      <c r="G199" s="6"/>
      <c r="H199" s="6"/>
      <c r="I199" s="16">
        <v>2</v>
      </c>
      <c r="J199" s="7" t="s">
        <v>573</v>
      </c>
      <c r="K199" s="6">
        <v>2</v>
      </c>
      <c r="L199" s="6" t="s">
        <v>574</v>
      </c>
      <c r="M199" s="4" t="s">
        <v>853</v>
      </c>
      <c r="N199" s="4" t="s">
        <v>858</v>
      </c>
      <c r="O199" s="4" t="s">
        <v>865</v>
      </c>
      <c r="P199" s="4" t="s">
        <v>870</v>
      </c>
      <c r="Q199" s="5">
        <f>IF((COUNT(E199)+COUNT(G199)+COUNT(I199)+COUNT(K199))=2,
   IF(MIN(E199,G199,I199,K199)=MAX(E199,G199,I199,K199),MIN(E199,G199,I199,K199),"final grade?"),
"final grade?")</f>
        <v>2</v>
      </c>
    </row>
    <row r="200" spans="1:17" ht="15.75" customHeight="1" x14ac:dyDescent="0.2">
      <c r="A200" s="6" t="s">
        <v>558</v>
      </c>
      <c r="B200" s="6" t="s">
        <v>33</v>
      </c>
      <c r="C200" s="6" t="s">
        <v>859</v>
      </c>
      <c r="D200" s="2" t="s">
        <v>575</v>
      </c>
      <c r="E200" s="7">
        <v>2</v>
      </c>
      <c r="F200" s="7" t="s">
        <v>576</v>
      </c>
      <c r="G200" s="6">
        <v>3</v>
      </c>
      <c r="H200" s="6" t="s">
        <v>42</v>
      </c>
      <c r="I200" s="7"/>
      <c r="J200" s="7"/>
      <c r="K200" s="6"/>
      <c r="L200" s="6"/>
      <c r="M200" s="4" t="s">
        <v>50</v>
      </c>
      <c r="N200" s="4" t="s">
        <v>858</v>
      </c>
      <c r="O200" s="4" t="s">
        <v>865</v>
      </c>
      <c r="P200" s="4" t="s">
        <v>870</v>
      </c>
      <c r="Q200" s="5">
        <v>3</v>
      </c>
    </row>
    <row r="201" spans="1:17" ht="15.75" customHeight="1" x14ac:dyDescent="0.2">
      <c r="A201" s="6" t="s">
        <v>558</v>
      </c>
      <c r="B201" s="6" t="s">
        <v>39</v>
      </c>
      <c r="C201" s="6" t="s">
        <v>871</v>
      </c>
      <c r="D201" s="2" t="s">
        <v>577</v>
      </c>
      <c r="E201" s="7">
        <v>3</v>
      </c>
      <c r="F201" s="7" t="s">
        <v>11</v>
      </c>
      <c r="G201" s="6"/>
      <c r="H201" s="6"/>
      <c r="I201" s="7"/>
      <c r="J201" s="7"/>
      <c r="K201" s="6">
        <v>2</v>
      </c>
      <c r="L201" s="6" t="s">
        <v>578</v>
      </c>
      <c r="M201" s="4" t="s">
        <v>579</v>
      </c>
      <c r="N201" s="4" t="s">
        <v>858</v>
      </c>
      <c r="O201" s="4" t="s">
        <v>865</v>
      </c>
      <c r="P201" s="4" t="s">
        <v>571</v>
      </c>
      <c r="Q201" s="5">
        <v>2</v>
      </c>
    </row>
    <row r="202" spans="1:17" ht="15.75" customHeight="1" x14ac:dyDescent="0.2">
      <c r="A202" s="6" t="s">
        <v>580</v>
      </c>
      <c r="B202" s="6" t="s">
        <v>6</v>
      </c>
      <c r="C202" s="6" t="s">
        <v>871</v>
      </c>
      <c r="D202" s="2" t="s">
        <v>581</v>
      </c>
      <c r="E202" s="7">
        <v>4</v>
      </c>
      <c r="F202" s="7" t="s">
        <v>582</v>
      </c>
      <c r="G202" s="6"/>
      <c r="H202" s="6"/>
      <c r="I202" s="7"/>
      <c r="J202" s="7"/>
      <c r="K202" s="6">
        <v>5</v>
      </c>
      <c r="L202" s="6"/>
      <c r="M202" s="4" t="s">
        <v>583</v>
      </c>
      <c r="N202" s="4" t="s">
        <v>858</v>
      </c>
      <c r="O202" s="4" t="s">
        <v>865</v>
      </c>
      <c r="P202" s="4" t="s">
        <v>584</v>
      </c>
      <c r="Q202" s="5">
        <v>4</v>
      </c>
    </row>
    <row r="203" spans="1:17" ht="15.75" customHeight="1" x14ac:dyDescent="0.2">
      <c r="A203" s="6" t="s">
        <v>580</v>
      </c>
      <c r="B203" s="6" t="s">
        <v>9</v>
      </c>
      <c r="C203" s="6" t="s">
        <v>859</v>
      </c>
      <c r="D203" s="2" t="s">
        <v>585</v>
      </c>
      <c r="E203" s="7">
        <v>5</v>
      </c>
      <c r="F203" s="7"/>
      <c r="G203" s="6">
        <v>5</v>
      </c>
      <c r="H203" s="6" t="s">
        <v>586</v>
      </c>
      <c r="I203" s="7"/>
      <c r="J203" s="7"/>
      <c r="K203" s="6"/>
      <c r="L203" s="6"/>
      <c r="M203" s="4" t="s">
        <v>853</v>
      </c>
      <c r="N203" s="4" t="s">
        <v>858</v>
      </c>
      <c r="O203" s="4" t="s">
        <v>865</v>
      </c>
      <c r="P203" s="4" t="s">
        <v>870</v>
      </c>
      <c r="Q203" s="5">
        <f>IF((COUNT(E203)+COUNT(G203)+COUNT(I203)+COUNT(K203))=2,
   IF(MIN(E203,G203,I203,K203)=MAX(E203,G203,I203,K203),MIN(E203,G203,I203,K203),"final grade?"),
"final grade?")</f>
        <v>5</v>
      </c>
    </row>
    <row r="204" spans="1:17" ht="15.75" customHeight="1" x14ac:dyDescent="0.2">
      <c r="A204" s="6" t="s">
        <v>580</v>
      </c>
      <c r="B204" s="6" t="s">
        <v>13</v>
      </c>
      <c r="C204" s="6" t="s">
        <v>872</v>
      </c>
      <c r="D204" s="2" t="s">
        <v>587</v>
      </c>
      <c r="E204" s="7"/>
      <c r="F204" s="7"/>
      <c r="G204" s="6"/>
      <c r="H204" s="6"/>
      <c r="I204" s="16">
        <v>5</v>
      </c>
      <c r="J204" s="7"/>
      <c r="K204" s="6">
        <v>2</v>
      </c>
      <c r="L204" s="6" t="s">
        <v>588</v>
      </c>
      <c r="M204" s="4" t="s">
        <v>853</v>
      </c>
      <c r="N204" s="4" t="s">
        <v>858</v>
      </c>
      <c r="O204" s="4" t="s">
        <v>589</v>
      </c>
      <c r="P204" s="4" t="s">
        <v>590</v>
      </c>
      <c r="Q204" s="5">
        <v>2</v>
      </c>
    </row>
    <row r="205" spans="1:17" ht="15.75" customHeight="1" x14ac:dyDescent="0.2">
      <c r="A205" s="6" t="s">
        <v>580</v>
      </c>
      <c r="B205" s="6" t="s">
        <v>18</v>
      </c>
      <c r="C205" s="6" t="s">
        <v>872</v>
      </c>
      <c r="D205" s="2" t="s">
        <v>591</v>
      </c>
      <c r="E205" s="7"/>
      <c r="F205" s="7"/>
      <c r="G205" s="6"/>
      <c r="H205" s="6"/>
      <c r="I205" s="16">
        <v>3</v>
      </c>
      <c r="J205" s="7" t="s">
        <v>158</v>
      </c>
      <c r="K205" s="6">
        <v>3</v>
      </c>
      <c r="L205" s="6" t="s">
        <v>592</v>
      </c>
      <c r="M205" s="4" t="s">
        <v>853</v>
      </c>
      <c r="N205" s="4" t="s">
        <v>858</v>
      </c>
      <c r="O205" s="4" t="s">
        <v>865</v>
      </c>
      <c r="P205" s="4" t="s">
        <v>870</v>
      </c>
      <c r="Q205" s="5">
        <f>IF((COUNT(E205)+COUNT(G205)+COUNT(I205)+COUNT(K205))=2,
   IF(MIN(E205,G205,I205,K205)=MAX(E205,G205,I205,K205),MIN(E205,G205,I205,K205),"final grade?"),
"final grade?")</f>
        <v>3</v>
      </c>
    </row>
    <row r="206" spans="1:17" ht="15.75" customHeight="1" x14ac:dyDescent="0.2">
      <c r="A206" s="6" t="s">
        <v>580</v>
      </c>
      <c r="B206" s="6" t="s">
        <v>22</v>
      </c>
      <c r="C206" s="6" t="s">
        <v>859</v>
      </c>
      <c r="D206" s="2" t="s">
        <v>593</v>
      </c>
      <c r="E206" s="7">
        <v>2</v>
      </c>
      <c r="F206" s="7" t="s">
        <v>594</v>
      </c>
      <c r="G206" s="6">
        <v>5</v>
      </c>
      <c r="H206" s="6"/>
      <c r="I206" s="7"/>
      <c r="J206" s="7"/>
      <c r="K206" s="6"/>
      <c r="L206" s="6"/>
      <c r="M206" s="10" t="s">
        <v>864</v>
      </c>
      <c r="N206" s="4" t="s">
        <v>595</v>
      </c>
      <c r="O206" s="4" t="s">
        <v>865</v>
      </c>
      <c r="P206" s="4" t="s">
        <v>870</v>
      </c>
      <c r="Q206" s="5">
        <v>2</v>
      </c>
    </row>
    <row r="207" spans="1:17" ht="15.75" customHeight="1" x14ac:dyDescent="0.2">
      <c r="A207" s="6" t="s">
        <v>580</v>
      </c>
      <c r="B207" s="6" t="s">
        <v>28</v>
      </c>
      <c r="C207" s="6" t="s">
        <v>871</v>
      </c>
      <c r="D207" s="15" t="s">
        <v>596</v>
      </c>
      <c r="E207" s="7">
        <v>3</v>
      </c>
      <c r="F207" s="7" t="s">
        <v>597</v>
      </c>
      <c r="G207" s="6"/>
      <c r="H207" s="6"/>
      <c r="I207" s="7"/>
      <c r="J207" s="7"/>
      <c r="K207" s="6">
        <v>1</v>
      </c>
      <c r="L207" s="6" t="s">
        <v>598</v>
      </c>
      <c r="M207" s="4" t="s">
        <v>599</v>
      </c>
      <c r="N207" s="4" t="s">
        <v>858</v>
      </c>
      <c r="O207" s="4" t="s">
        <v>865</v>
      </c>
      <c r="P207" s="4" t="s">
        <v>571</v>
      </c>
      <c r="Q207" s="5">
        <v>1</v>
      </c>
    </row>
    <row r="208" spans="1:17" ht="15.75" customHeight="1" x14ac:dyDescent="0.2">
      <c r="A208" s="6" t="s">
        <v>580</v>
      </c>
      <c r="B208" s="6" t="s">
        <v>33</v>
      </c>
      <c r="C208" s="6" t="s">
        <v>859</v>
      </c>
      <c r="D208" s="2" t="s">
        <v>600</v>
      </c>
      <c r="E208" s="7">
        <v>4</v>
      </c>
      <c r="F208" s="7" t="s">
        <v>601</v>
      </c>
      <c r="G208" s="6">
        <v>5</v>
      </c>
      <c r="H208" s="6"/>
      <c r="I208" s="7"/>
      <c r="J208" s="7"/>
      <c r="K208" s="6"/>
      <c r="L208" s="6"/>
      <c r="M208" s="4" t="s">
        <v>257</v>
      </c>
      <c r="N208" s="4" t="s">
        <v>858</v>
      </c>
      <c r="O208" s="4" t="s">
        <v>865</v>
      </c>
      <c r="P208" s="4" t="s">
        <v>870</v>
      </c>
      <c r="Q208" s="5">
        <v>5</v>
      </c>
    </row>
    <row r="209" spans="1:17" ht="15.75" customHeight="1" x14ac:dyDescent="0.2">
      <c r="A209" s="6" t="s">
        <v>580</v>
      </c>
      <c r="B209" s="6" t="s">
        <v>39</v>
      </c>
      <c r="C209" s="6" t="s">
        <v>866</v>
      </c>
      <c r="D209" s="2" t="s">
        <v>602</v>
      </c>
      <c r="E209" s="7">
        <v>3</v>
      </c>
      <c r="F209" s="7" t="s">
        <v>603</v>
      </c>
      <c r="G209" s="6"/>
      <c r="H209" s="6"/>
      <c r="I209" s="16">
        <v>1</v>
      </c>
      <c r="J209" s="7" t="s">
        <v>77</v>
      </c>
      <c r="K209" s="6"/>
      <c r="L209" s="6"/>
      <c r="M209" s="4" t="s">
        <v>604</v>
      </c>
      <c r="N209" s="4" t="s">
        <v>858</v>
      </c>
      <c r="O209" s="4" t="s">
        <v>865</v>
      </c>
      <c r="P209" s="4" t="s">
        <v>870</v>
      </c>
      <c r="Q209" s="5">
        <v>1</v>
      </c>
    </row>
    <row r="210" spans="1:17" ht="15.75" customHeight="1" x14ac:dyDescent="0.2">
      <c r="A210" s="6" t="s">
        <v>605</v>
      </c>
      <c r="B210" s="6" t="s">
        <v>6</v>
      </c>
      <c r="C210" s="6" t="s">
        <v>873</v>
      </c>
      <c r="D210" s="2" t="s">
        <v>606</v>
      </c>
      <c r="E210" s="7"/>
      <c r="F210" s="7"/>
      <c r="G210" s="6">
        <v>2</v>
      </c>
      <c r="H210" s="6" t="s">
        <v>607</v>
      </c>
      <c r="I210" s="7"/>
      <c r="J210" s="7"/>
      <c r="K210" s="6">
        <v>5</v>
      </c>
      <c r="L210" s="6"/>
      <c r="M210" s="4" t="s">
        <v>853</v>
      </c>
      <c r="N210" s="4" t="s">
        <v>608</v>
      </c>
      <c r="O210" s="4" t="s">
        <v>865</v>
      </c>
      <c r="P210" s="4" t="s">
        <v>870</v>
      </c>
      <c r="Q210" s="5">
        <v>5</v>
      </c>
    </row>
    <row r="211" spans="1:17" ht="15.75" customHeight="1" x14ac:dyDescent="0.2">
      <c r="A211" s="6" t="s">
        <v>605</v>
      </c>
      <c r="B211" s="6" t="s">
        <v>9</v>
      </c>
      <c r="C211" s="6" t="s">
        <v>867</v>
      </c>
      <c r="D211" s="2" t="s">
        <v>609</v>
      </c>
      <c r="E211" s="7"/>
      <c r="F211" s="7"/>
      <c r="G211" s="6">
        <v>3</v>
      </c>
      <c r="H211" s="6" t="s">
        <v>610</v>
      </c>
      <c r="I211" s="16">
        <v>4</v>
      </c>
      <c r="J211" s="7" t="s">
        <v>611</v>
      </c>
      <c r="K211" s="6"/>
      <c r="L211" s="6"/>
      <c r="M211" s="4" t="s">
        <v>853</v>
      </c>
      <c r="N211" s="4" t="s">
        <v>858</v>
      </c>
      <c r="O211" s="4" t="s">
        <v>50</v>
      </c>
      <c r="P211" s="4" t="s">
        <v>870</v>
      </c>
      <c r="Q211" s="5">
        <v>3</v>
      </c>
    </row>
    <row r="212" spans="1:17" ht="15.75" customHeight="1" x14ac:dyDescent="0.2">
      <c r="A212" s="6" t="s">
        <v>605</v>
      </c>
      <c r="B212" s="6" t="s">
        <v>13</v>
      </c>
      <c r="C212" s="6" t="s">
        <v>867</v>
      </c>
      <c r="D212" s="2" t="s">
        <v>612</v>
      </c>
      <c r="E212" s="7"/>
      <c r="F212" s="7"/>
      <c r="G212" s="6">
        <v>2</v>
      </c>
      <c r="H212" s="6" t="s">
        <v>613</v>
      </c>
      <c r="I212" s="16">
        <v>5</v>
      </c>
      <c r="J212" s="7"/>
      <c r="K212" s="6"/>
      <c r="L212" s="6"/>
      <c r="M212" s="4" t="s">
        <v>853</v>
      </c>
      <c r="N212" s="4" t="s">
        <v>858</v>
      </c>
      <c r="O212" s="4" t="s">
        <v>68</v>
      </c>
      <c r="P212" s="4" t="s">
        <v>870</v>
      </c>
      <c r="Q212" s="5">
        <v>2</v>
      </c>
    </row>
    <row r="213" spans="1:17" ht="15.75" customHeight="1" x14ac:dyDescent="0.2">
      <c r="A213" s="6" t="s">
        <v>605</v>
      </c>
      <c r="B213" s="6" t="s">
        <v>18</v>
      </c>
      <c r="C213" s="6" t="s">
        <v>871</v>
      </c>
      <c r="D213" s="2" t="s">
        <v>614</v>
      </c>
      <c r="E213" s="7">
        <v>3</v>
      </c>
      <c r="F213" s="7" t="s">
        <v>251</v>
      </c>
      <c r="G213" s="6"/>
      <c r="H213" s="6"/>
      <c r="I213" s="7"/>
      <c r="J213" s="7"/>
      <c r="K213" s="6">
        <v>4</v>
      </c>
      <c r="L213" s="6" t="s">
        <v>615</v>
      </c>
      <c r="M213" s="4" t="s">
        <v>616</v>
      </c>
      <c r="N213" s="4" t="s">
        <v>858</v>
      </c>
      <c r="O213" s="4" t="s">
        <v>865</v>
      </c>
      <c r="P213" s="4" t="s">
        <v>86</v>
      </c>
      <c r="Q213" s="5">
        <v>3</v>
      </c>
    </row>
    <row r="214" spans="1:17" ht="15.75" customHeight="1" x14ac:dyDescent="0.2">
      <c r="A214" s="6" t="s">
        <v>605</v>
      </c>
      <c r="B214" s="6" t="s">
        <v>22</v>
      </c>
      <c r="C214" s="6" t="s">
        <v>872</v>
      </c>
      <c r="D214" s="2" t="s">
        <v>617</v>
      </c>
      <c r="E214" s="7"/>
      <c r="F214" s="7"/>
      <c r="G214" s="6"/>
      <c r="H214" s="6"/>
      <c r="I214" s="16">
        <v>3</v>
      </c>
      <c r="J214" s="7" t="s">
        <v>325</v>
      </c>
      <c r="K214" s="6">
        <v>3</v>
      </c>
      <c r="L214" s="6" t="s">
        <v>618</v>
      </c>
      <c r="M214" s="4" t="s">
        <v>853</v>
      </c>
      <c r="N214" s="4" t="s">
        <v>858</v>
      </c>
      <c r="O214" s="4" t="s">
        <v>865</v>
      </c>
      <c r="P214" s="4" t="s">
        <v>870</v>
      </c>
      <c r="Q214" s="5">
        <f t="shared" ref="Q214:Q216" si="19">IF((COUNT(E214)+COUNT(G214)+COUNT(I214)+COUNT(K214))=2,
   IF(MIN(E214,G214,I214,K214)=MAX(E214,G214,I214,K214),MIN(E214,G214,I214,K214),"final grade?"),
"final grade?")</f>
        <v>3</v>
      </c>
    </row>
    <row r="215" spans="1:17" ht="15.75" customHeight="1" x14ac:dyDescent="0.2">
      <c r="A215" s="6" t="s">
        <v>605</v>
      </c>
      <c r="B215" s="6" t="s">
        <v>28</v>
      </c>
      <c r="C215" s="6" t="s">
        <v>871</v>
      </c>
      <c r="D215" s="2" t="s">
        <v>619</v>
      </c>
      <c r="E215" s="7">
        <v>5</v>
      </c>
      <c r="F215" s="7"/>
      <c r="G215" s="6"/>
      <c r="H215" s="6"/>
      <c r="I215" s="7"/>
      <c r="J215" s="7"/>
      <c r="K215" s="6">
        <v>5</v>
      </c>
      <c r="L215" s="6"/>
      <c r="M215" s="4" t="s">
        <v>853</v>
      </c>
      <c r="N215" s="4" t="s">
        <v>858</v>
      </c>
      <c r="O215" s="4" t="s">
        <v>865</v>
      </c>
      <c r="P215" s="4" t="s">
        <v>870</v>
      </c>
      <c r="Q215" s="5">
        <f t="shared" si="19"/>
        <v>5</v>
      </c>
    </row>
    <row r="216" spans="1:17" ht="15.75" customHeight="1" x14ac:dyDescent="0.2">
      <c r="A216" s="6" t="s">
        <v>605</v>
      </c>
      <c r="B216" s="6" t="s">
        <v>33</v>
      </c>
      <c r="C216" s="6" t="s">
        <v>871</v>
      </c>
      <c r="D216" s="2" t="s">
        <v>620</v>
      </c>
      <c r="E216" s="7">
        <v>5</v>
      </c>
      <c r="F216" s="7"/>
      <c r="G216" s="6"/>
      <c r="H216" s="6"/>
      <c r="I216" s="7"/>
      <c r="J216" s="7"/>
      <c r="K216" s="6">
        <v>5</v>
      </c>
      <c r="L216" s="6"/>
      <c r="M216" s="4" t="s">
        <v>853</v>
      </c>
      <c r="N216" s="4" t="s">
        <v>858</v>
      </c>
      <c r="O216" s="4" t="s">
        <v>865</v>
      </c>
      <c r="P216" s="4" t="s">
        <v>870</v>
      </c>
      <c r="Q216" s="5">
        <f t="shared" si="19"/>
        <v>5</v>
      </c>
    </row>
    <row r="217" spans="1:17" ht="15.75" customHeight="1" x14ac:dyDescent="0.2">
      <c r="A217" s="6" t="s">
        <v>605</v>
      </c>
      <c r="B217" s="6" t="s">
        <v>39</v>
      </c>
      <c r="C217" s="6" t="s">
        <v>867</v>
      </c>
      <c r="D217" s="2" t="s">
        <v>621</v>
      </c>
      <c r="E217" s="7"/>
      <c r="F217" s="7"/>
      <c r="G217" s="6">
        <v>3</v>
      </c>
      <c r="H217" s="6" t="s">
        <v>622</v>
      </c>
      <c r="I217" s="16">
        <v>5</v>
      </c>
      <c r="J217" s="7" t="s">
        <v>623</v>
      </c>
      <c r="K217" s="6"/>
      <c r="L217" s="6"/>
      <c r="M217" s="4" t="s">
        <v>853</v>
      </c>
      <c r="N217" s="4" t="s">
        <v>858</v>
      </c>
      <c r="O217" s="4" t="s">
        <v>50</v>
      </c>
      <c r="P217" s="4" t="s">
        <v>870</v>
      </c>
      <c r="Q217" s="5">
        <v>3</v>
      </c>
    </row>
    <row r="218" spans="1:17" ht="15.75" customHeight="1" x14ac:dyDescent="0.2">
      <c r="A218" s="6" t="s">
        <v>624</v>
      </c>
      <c r="B218" s="6" t="s">
        <v>6</v>
      </c>
      <c r="C218" s="6" t="s">
        <v>873</v>
      </c>
      <c r="D218" s="2" t="s">
        <v>625</v>
      </c>
      <c r="E218" s="7"/>
      <c r="F218" s="7"/>
      <c r="G218" s="6">
        <v>4</v>
      </c>
      <c r="H218" s="6" t="s">
        <v>626</v>
      </c>
      <c r="I218" s="7"/>
      <c r="J218" s="7"/>
      <c r="K218" s="6">
        <v>5</v>
      </c>
      <c r="L218" s="6"/>
      <c r="M218" s="4" t="s">
        <v>853</v>
      </c>
      <c r="N218" s="4" t="s">
        <v>257</v>
      </c>
      <c r="O218" s="4" t="s">
        <v>865</v>
      </c>
      <c r="P218" s="4" t="s">
        <v>870</v>
      </c>
      <c r="Q218" s="5">
        <v>5</v>
      </c>
    </row>
    <row r="219" spans="1:17" ht="15.75" customHeight="1" x14ac:dyDescent="0.2">
      <c r="A219" s="6" t="s">
        <v>624</v>
      </c>
      <c r="B219" s="6" t="s">
        <v>9</v>
      </c>
      <c r="C219" s="6" t="s">
        <v>867</v>
      </c>
      <c r="D219" s="2" t="s">
        <v>627</v>
      </c>
      <c r="E219" s="7"/>
      <c r="F219" s="7"/>
      <c r="G219" s="6">
        <v>5</v>
      </c>
      <c r="H219" s="6" t="s">
        <v>628</v>
      </c>
      <c r="I219" s="16">
        <v>4</v>
      </c>
      <c r="J219" s="7" t="s">
        <v>629</v>
      </c>
      <c r="K219" s="6"/>
      <c r="L219" s="6"/>
      <c r="M219" s="4" t="s">
        <v>853</v>
      </c>
      <c r="N219" s="4" t="s">
        <v>297</v>
      </c>
      <c r="O219" s="4" t="s">
        <v>630</v>
      </c>
      <c r="P219" s="4" t="s">
        <v>870</v>
      </c>
      <c r="Q219" s="17">
        <v>4</v>
      </c>
    </row>
    <row r="220" spans="1:17" ht="15.75" customHeight="1" x14ac:dyDescent="0.2">
      <c r="A220" s="6" t="s">
        <v>624</v>
      </c>
      <c r="B220" s="6" t="s">
        <v>13</v>
      </c>
      <c r="C220" s="6" t="s">
        <v>859</v>
      </c>
      <c r="D220" s="2" t="s">
        <v>631</v>
      </c>
      <c r="E220" s="7">
        <v>5</v>
      </c>
      <c r="F220" s="7"/>
      <c r="G220" s="6">
        <v>5</v>
      </c>
      <c r="H220" s="6"/>
      <c r="I220" s="7"/>
      <c r="J220" s="7"/>
      <c r="K220" s="6"/>
      <c r="L220" s="6"/>
      <c r="M220" s="4" t="s">
        <v>853</v>
      </c>
      <c r="N220" s="4" t="s">
        <v>858</v>
      </c>
      <c r="O220" s="4" t="s">
        <v>865</v>
      </c>
      <c r="P220" s="4" t="s">
        <v>870</v>
      </c>
      <c r="Q220" s="5">
        <f t="shared" ref="Q220:Q225" si="20">IF((COUNT(E220)+COUNT(G220)+COUNT(I220)+COUNT(K220))=2,
   IF(MIN(E220,G220,I220,K220)=MAX(E220,G220,I220,K220),MIN(E220,G220,I220,K220),"final grade?"),
"final grade?")</f>
        <v>5</v>
      </c>
    </row>
    <row r="221" spans="1:17" ht="15.75" customHeight="1" x14ac:dyDescent="0.2">
      <c r="A221" s="6" t="s">
        <v>624</v>
      </c>
      <c r="B221" s="6" t="s">
        <v>18</v>
      </c>
      <c r="C221" s="6" t="s">
        <v>872</v>
      </c>
      <c r="D221" s="2" t="s">
        <v>632</v>
      </c>
      <c r="E221" s="7"/>
      <c r="F221" s="7"/>
      <c r="G221" s="6"/>
      <c r="H221" s="6"/>
      <c r="I221" s="16">
        <v>4</v>
      </c>
      <c r="J221" s="7" t="s">
        <v>456</v>
      </c>
      <c r="K221" s="6">
        <v>4</v>
      </c>
      <c r="L221" s="6" t="s">
        <v>633</v>
      </c>
      <c r="M221" s="4" t="s">
        <v>853</v>
      </c>
      <c r="N221" s="4" t="s">
        <v>858</v>
      </c>
      <c r="O221" s="4" t="s">
        <v>865</v>
      </c>
      <c r="P221" s="4" t="s">
        <v>870</v>
      </c>
      <c r="Q221" s="5">
        <f t="shared" si="20"/>
        <v>4</v>
      </c>
    </row>
    <row r="222" spans="1:17" ht="15.75" customHeight="1" x14ac:dyDescent="0.2">
      <c r="A222" s="6" t="s">
        <v>624</v>
      </c>
      <c r="B222" s="6" t="s">
        <v>22</v>
      </c>
      <c r="C222" s="6" t="s">
        <v>872</v>
      </c>
      <c r="D222" s="2" t="s">
        <v>634</v>
      </c>
      <c r="E222" s="7"/>
      <c r="F222" s="7"/>
      <c r="G222" s="6"/>
      <c r="H222" s="6"/>
      <c r="I222" s="16">
        <v>4</v>
      </c>
      <c r="J222" s="7" t="s">
        <v>635</v>
      </c>
      <c r="K222" s="6">
        <v>4</v>
      </c>
      <c r="L222" s="6" t="s">
        <v>636</v>
      </c>
      <c r="M222" s="4" t="s">
        <v>853</v>
      </c>
      <c r="N222" s="4" t="s">
        <v>858</v>
      </c>
      <c r="O222" s="4" t="s">
        <v>865</v>
      </c>
      <c r="P222" s="4" t="s">
        <v>870</v>
      </c>
      <c r="Q222" s="5">
        <f t="shared" si="20"/>
        <v>4</v>
      </c>
    </row>
    <row r="223" spans="1:17" ht="15.75" customHeight="1" x14ac:dyDescent="0.2">
      <c r="A223" s="6" t="s">
        <v>624</v>
      </c>
      <c r="B223" s="6" t="s">
        <v>28</v>
      </c>
      <c r="C223" s="6" t="s">
        <v>867</v>
      </c>
      <c r="D223" s="2" t="s">
        <v>637</v>
      </c>
      <c r="E223" s="7"/>
      <c r="F223" s="7"/>
      <c r="G223" s="6">
        <v>5</v>
      </c>
      <c r="H223" s="6"/>
      <c r="I223" s="16">
        <v>5</v>
      </c>
      <c r="J223" s="7"/>
      <c r="K223" s="6"/>
      <c r="L223" s="6"/>
      <c r="M223" s="4" t="s">
        <v>853</v>
      </c>
      <c r="N223" s="4" t="s">
        <v>858</v>
      </c>
      <c r="O223" s="4" t="s">
        <v>865</v>
      </c>
      <c r="P223" s="4" t="s">
        <v>870</v>
      </c>
      <c r="Q223" s="5">
        <f t="shared" si="20"/>
        <v>5</v>
      </c>
    </row>
    <row r="224" spans="1:17" ht="15.75" customHeight="1" x14ac:dyDescent="0.2">
      <c r="A224" s="6" t="s">
        <v>624</v>
      </c>
      <c r="B224" s="6" t="s">
        <v>33</v>
      </c>
      <c r="C224" s="6" t="s">
        <v>867</v>
      </c>
      <c r="D224" s="2" t="s">
        <v>638</v>
      </c>
      <c r="E224" s="7"/>
      <c r="F224" s="7"/>
      <c r="G224" s="6">
        <v>5</v>
      </c>
      <c r="H224" s="6"/>
      <c r="I224" s="16">
        <v>5</v>
      </c>
      <c r="J224" s="7"/>
      <c r="K224" s="6"/>
      <c r="L224" s="6"/>
      <c r="M224" s="4" t="s">
        <v>853</v>
      </c>
      <c r="N224" s="4" t="s">
        <v>858</v>
      </c>
      <c r="O224" s="4" t="s">
        <v>865</v>
      </c>
      <c r="P224" s="4" t="s">
        <v>870</v>
      </c>
      <c r="Q224" s="5">
        <f t="shared" si="20"/>
        <v>5</v>
      </c>
    </row>
    <row r="225" spans="1:17" ht="15.75" customHeight="1" x14ac:dyDescent="0.2">
      <c r="A225" s="6" t="s">
        <v>624</v>
      </c>
      <c r="B225" s="6" t="s">
        <v>39</v>
      </c>
      <c r="C225" s="6" t="s">
        <v>859</v>
      </c>
      <c r="D225" s="2" t="s">
        <v>639</v>
      </c>
      <c r="E225" s="7">
        <v>3</v>
      </c>
      <c r="F225" s="7" t="s">
        <v>640</v>
      </c>
      <c r="G225" s="6">
        <v>3</v>
      </c>
      <c r="H225" s="6" t="s">
        <v>641</v>
      </c>
      <c r="I225" s="7"/>
      <c r="J225" s="7"/>
      <c r="K225" s="6"/>
      <c r="L225" s="6"/>
      <c r="M225" s="4" t="s">
        <v>853</v>
      </c>
      <c r="N225" s="4" t="s">
        <v>858</v>
      </c>
      <c r="O225" s="4" t="s">
        <v>865</v>
      </c>
      <c r="P225" s="4" t="s">
        <v>870</v>
      </c>
      <c r="Q225" s="5">
        <f t="shared" si="20"/>
        <v>3</v>
      </c>
    </row>
    <row r="226" spans="1:17" ht="15.75" customHeight="1" x14ac:dyDescent="0.2">
      <c r="A226" s="6" t="s">
        <v>642</v>
      </c>
      <c r="B226" s="6" t="s">
        <v>6</v>
      </c>
      <c r="C226" s="6" t="s">
        <v>873</v>
      </c>
      <c r="D226" s="2" t="s">
        <v>643</v>
      </c>
      <c r="E226" s="7"/>
      <c r="F226" s="7"/>
      <c r="G226" s="6">
        <v>4</v>
      </c>
      <c r="H226" s="6" t="s">
        <v>626</v>
      </c>
      <c r="I226" s="7"/>
      <c r="J226" s="7"/>
      <c r="K226" s="6">
        <v>5</v>
      </c>
      <c r="L226" s="6" t="s">
        <v>644</v>
      </c>
      <c r="M226" s="4" t="s">
        <v>853</v>
      </c>
      <c r="N226" s="4" t="s">
        <v>877</v>
      </c>
      <c r="O226" s="4" t="s">
        <v>865</v>
      </c>
      <c r="P226" s="4" t="s">
        <v>645</v>
      </c>
      <c r="Q226" s="5">
        <v>4</v>
      </c>
    </row>
    <row r="227" spans="1:17" ht="15.75" customHeight="1" x14ac:dyDescent="0.2">
      <c r="A227" s="6" t="s">
        <v>642</v>
      </c>
      <c r="B227" s="6" t="s">
        <v>9</v>
      </c>
      <c r="C227" s="6" t="s">
        <v>859</v>
      </c>
      <c r="D227" s="2" t="s">
        <v>646</v>
      </c>
      <c r="E227" s="7">
        <v>3</v>
      </c>
      <c r="F227" s="7" t="s">
        <v>11</v>
      </c>
      <c r="G227" s="6">
        <v>3</v>
      </c>
      <c r="H227" s="6" t="s">
        <v>610</v>
      </c>
      <c r="I227" s="7"/>
      <c r="J227" s="7"/>
      <c r="K227" s="6"/>
      <c r="L227" s="6"/>
      <c r="M227" s="4" t="s">
        <v>853</v>
      </c>
      <c r="N227" s="4" t="s">
        <v>858</v>
      </c>
      <c r="O227" s="4" t="s">
        <v>865</v>
      </c>
      <c r="P227" s="4" t="s">
        <v>870</v>
      </c>
      <c r="Q227" s="5">
        <f>IF((COUNT(E227)+COUNT(G227)+COUNT(I227)+COUNT(K227))=2,
   IF(MIN(E227,G227,I227,K227)=MAX(E227,G227,I227,K227),MIN(E227,G227,I227,K227),"final grade?"),
"final grade?")</f>
        <v>3</v>
      </c>
    </row>
    <row r="228" spans="1:17" ht="15.75" customHeight="1" x14ac:dyDescent="0.2">
      <c r="A228" s="6" t="s">
        <v>642</v>
      </c>
      <c r="B228" s="6" t="s">
        <v>13</v>
      </c>
      <c r="C228" s="6" t="s">
        <v>871</v>
      </c>
      <c r="D228" s="2" t="s">
        <v>647</v>
      </c>
      <c r="E228" s="7">
        <v>3</v>
      </c>
      <c r="F228" s="7" t="s">
        <v>11</v>
      </c>
      <c r="G228" s="6"/>
      <c r="H228" s="6"/>
      <c r="I228" s="7"/>
      <c r="J228" s="7"/>
      <c r="K228" s="6">
        <v>5</v>
      </c>
      <c r="L228" s="6"/>
      <c r="M228" s="4" t="s">
        <v>648</v>
      </c>
      <c r="N228" s="4" t="s">
        <v>858</v>
      </c>
      <c r="O228" s="4" t="s">
        <v>865</v>
      </c>
      <c r="P228" s="4" t="s">
        <v>870</v>
      </c>
      <c r="Q228" s="5">
        <v>5</v>
      </c>
    </row>
    <row r="229" spans="1:17" ht="15.75" customHeight="1" x14ac:dyDescent="0.2">
      <c r="A229" s="6" t="s">
        <v>642</v>
      </c>
      <c r="B229" s="6" t="s">
        <v>18</v>
      </c>
      <c r="C229" s="6" t="s">
        <v>872</v>
      </c>
      <c r="D229" s="2" t="s">
        <v>649</v>
      </c>
      <c r="E229" s="7"/>
      <c r="F229" s="7"/>
      <c r="G229" s="6"/>
      <c r="H229" s="6"/>
      <c r="I229" s="16">
        <v>5</v>
      </c>
      <c r="J229" s="7"/>
      <c r="K229" s="6">
        <v>5</v>
      </c>
      <c r="L229" s="6"/>
      <c r="M229" s="4" t="s">
        <v>853</v>
      </c>
      <c r="N229" s="4" t="s">
        <v>858</v>
      </c>
      <c r="O229" s="4" t="s">
        <v>865</v>
      </c>
      <c r="P229" s="4" t="s">
        <v>870</v>
      </c>
      <c r="Q229" s="5">
        <f>IF((COUNT(E229)+COUNT(G229)+COUNT(I229)+COUNT(K229))=2,
   IF(MIN(E229,G229,I229,K229)=MAX(E229,G229,I229,K229),MIN(E229,G229,I229,K229),"final grade?"),
"final grade?")</f>
        <v>5</v>
      </c>
    </row>
    <row r="230" spans="1:17" ht="15.75" customHeight="1" x14ac:dyDescent="0.2">
      <c r="A230" s="6" t="s">
        <v>642</v>
      </c>
      <c r="B230" s="6" t="s">
        <v>22</v>
      </c>
      <c r="C230" s="6" t="s">
        <v>873</v>
      </c>
      <c r="D230" s="2" t="s">
        <v>650</v>
      </c>
      <c r="E230" s="7"/>
      <c r="F230" s="7"/>
      <c r="G230" s="6">
        <v>5</v>
      </c>
      <c r="H230" s="6"/>
      <c r="I230" s="7"/>
      <c r="J230" s="7"/>
      <c r="K230" s="6">
        <v>3</v>
      </c>
      <c r="L230" s="6" t="s">
        <v>651</v>
      </c>
      <c r="M230" s="4" t="s">
        <v>853</v>
      </c>
      <c r="N230" s="4" t="s">
        <v>652</v>
      </c>
      <c r="O230" s="4" t="s">
        <v>865</v>
      </c>
      <c r="P230" s="4" t="s">
        <v>870</v>
      </c>
      <c r="Q230" s="5">
        <v>3</v>
      </c>
    </row>
    <row r="231" spans="1:17" ht="15.75" customHeight="1" x14ac:dyDescent="0.2">
      <c r="A231" s="6" t="s">
        <v>642</v>
      </c>
      <c r="B231" s="6" t="s">
        <v>28</v>
      </c>
      <c r="C231" s="6" t="s">
        <v>872</v>
      </c>
      <c r="D231" s="15" t="s">
        <v>653</v>
      </c>
      <c r="E231" s="7"/>
      <c r="F231" s="7"/>
      <c r="G231" s="6"/>
      <c r="H231" s="6"/>
      <c r="I231" s="16">
        <v>5</v>
      </c>
      <c r="J231" s="7"/>
      <c r="K231" s="6">
        <v>2</v>
      </c>
      <c r="L231" s="6" t="s">
        <v>654</v>
      </c>
      <c r="M231" s="4" t="s">
        <v>853</v>
      </c>
      <c r="N231" s="4" t="s">
        <v>858</v>
      </c>
      <c r="O231" s="4" t="s">
        <v>865</v>
      </c>
      <c r="P231" s="4" t="s">
        <v>655</v>
      </c>
      <c r="Q231" s="5">
        <v>5</v>
      </c>
    </row>
    <row r="232" spans="1:17" ht="15.75" customHeight="1" x14ac:dyDescent="0.2">
      <c r="A232" s="6" t="s">
        <v>642</v>
      </c>
      <c r="B232" s="6" t="s">
        <v>33</v>
      </c>
      <c r="C232" s="6" t="s">
        <v>871</v>
      </c>
      <c r="D232" s="2" t="s">
        <v>656</v>
      </c>
      <c r="E232" s="7">
        <v>5</v>
      </c>
      <c r="F232" s="7"/>
      <c r="G232" s="6"/>
      <c r="H232" s="6"/>
      <c r="I232" s="7"/>
      <c r="J232" s="7"/>
      <c r="K232" s="6">
        <v>5</v>
      </c>
      <c r="L232" s="6"/>
      <c r="M232" s="4" t="s">
        <v>853</v>
      </c>
      <c r="N232" s="4" t="s">
        <v>858</v>
      </c>
      <c r="O232" s="4" t="s">
        <v>865</v>
      </c>
      <c r="P232" s="4" t="s">
        <v>870</v>
      </c>
      <c r="Q232" s="5">
        <f>IF((COUNT(E232)+COUNT(G232)+COUNT(I232)+COUNT(K232))=2,
   IF(MIN(E232,G232,I232,K232)=MAX(E232,G232,I232,K232),MIN(E232,G232,I232,K232),"final grade?"),
"final grade?")</f>
        <v>5</v>
      </c>
    </row>
    <row r="233" spans="1:17" ht="15.75" customHeight="1" x14ac:dyDescent="0.2">
      <c r="A233" s="6" t="s">
        <v>642</v>
      </c>
      <c r="B233" s="6" t="s">
        <v>39</v>
      </c>
      <c r="C233" s="6" t="s">
        <v>859</v>
      </c>
      <c r="D233" s="2" t="s">
        <v>657</v>
      </c>
      <c r="E233" s="7">
        <v>4</v>
      </c>
      <c r="F233" s="7" t="s">
        <v>421</v>
      </c>
      <c r="G233" s="6">
        <v>5</v>
      </c>
      <c r="H233" s="6"/>
      <c r="I233" s="7"/>
      <c r="J233" s="7"/>
      <c r="K233" s="6"/>
      <c r="L233" s="6"/>
      <c r="M233" s="4" t="s">
        <v>257</v>
      </c>
      <c r="N233" s="4" t="s">
        <v>858</v>
      </c>
      <c r="O233" s="4" t="s">
        <v>865</v>
      </c>
      <c r="P233" s="4" t="s">
        <v>870</v>
      </c>
      <c r="Q233" s="5">
        <v>5</v>
      </c>
    </row>
    <row r="234" spans="1:17" ht="15.75" customHeight="1" x14ac:dyDescent="0.2">
      <c r="A234" s="6" t="s">
        <v>658</v>
      </c>
      <c r="B234" s="6" t="s">
        <v>6</v>
      </c>
      <c r="C234" s="6" t="s">
        <v>867</v>
      </c>
      <c r="D234" s="2" t="s">
        <v>659</v>
      </c>
      <c r="E234" s="7"/>
      <c r="F234" s="7"/>
      <c r="G234" s="6">
        <v>5</v>
      </c>
      <c r="H234" s="6"/>
      <c r="I234" s="16">
        <v>5</v>
      </c>
      <c r="J234" s="7"/>
      <c r="K234" s="6"/>
      <c r="L234" s="6"/>
      <c r="M234" s="4" t="s">
        <v>853</v>
      </c>
      <c r="N234" s="4" t="s">
        <v>858</v>
      </c>
      <c r="O234" s="4" t="s">
        <v>865</v>
      </c>
      <c r="P234" s="4" t="s">
        <v>870</v>
      </c>
      <c r="Q234" s="5">
        <f t="shared" ref="Q234:Q235" si="21">IF((COUNT(E234)+COUNT(G234)+COUNT(I234)+COUNT(K234))=2,
   IF(MIN(E234,G234,I234,K234)=MAX(E234,G234,I234,K234),MIN(E234,G234,I234,K234),"final grade?"),
"final grade?")</f>
        <v>5</v>
      </c>
    </row>
    <row r="235" spans="1:17" ht="15.75" customHeight="1" x14ac:dyDescent="0.2">
      <c r="A235" s="6" t="s">
        <v>658</v>
      </c>
      <c r="B235" s="6" t="s">
        <v>9</v>
      </c>
      <c r="C235" s="6" t="s">
        <v>859</v>
      </c>
      <c r="D235" s="2" t="s">
        <v>660</v>
      </c>
      <c r="E235" s="7">
        <v>5</v>
      </c>
      <c r="F235" s="7"/>
      <c r="G235" s="6">
        <v>5</v>
      </c>
      <c r="H235" s="6"/>
      <c r="I235" s="7"/>
      <c r="J235" s="7"/>
      <c r="K235" s="6"/>
      <c r="L235" s="6"/>
      <c r="M235" s="4" t="s">
        <v>853</v>
      </c>
      <c r="N235" s="4" t="s">
        <v>858</v>
      </c>
      <c r="O235" s="4" t="s">
        <v>865</v>
      </c>
      <c r="P235" s="4" t="s">
        <v>870</v>
      </c>
      <c r="Q235" s="5">
        <f t="shared" si="21"/>
        <v>5</v>
      </c>
    </row>
    <row r="236" spans="1:17" ht="15.75" customHeight="1" x14ac:dyDescent="0.2">
      <c r="A236" s="6" t="s">
        <v>658</v>
      </c>
      <c r="B236" s="6" t="s">
        <v>13</v>
      </c>
      <c r="C236" s="6" t="s">
        <v>873</v>
      </c>
      <c r="D236" s="2" t="s">
        <v>661</v>
      </c>
      <c r="E236" s="7"/>
      <c r="F236" s="7"/>
      <c r="G236" s="6">
        <v>4</v>
      </c>
      <c r="H236" s="6" t="s">
        <v>662</v>
      </c>
      <c r="I236" s="7"/>
      <c r="J236" s="7"/>
      <c r="K236" s="6">
        <v>2</v>
      </c>
      <c r="L236" s="6" t="s">
        <v>663</v>
      </c>
      <c r="M236" s="4" t="s">
        <v>853</v>
      </c>
      <c r="N236" s="4" t="s">
        <v>664</v>
      </c>
      <c r="O236" s="4" t="s">
        <v>865</v>
      </c>
      <c r="P236" s="4" t="s">
        <v>665</v>
      </c>
      <c r="Q236" s="5">
        <v>3</v>
      </c>
    </row>
    <row r="237" spans="1:17" ht="15.75" customHeight="1" x14ac:dyDescent="0.2">
      <c r="A237" s="6" t="s">
        <v>658</v>
      </c>
      <c r="B237" s="6" t="s">
        <v>18</v>
      </c>
      <c r="C237" s="6" t="s">
        <v>867</v>
      </c>
      <c r="D237" s="2" t="s">
        <v>666</v>
      </c>
      <c r="E237" s="7"/>
      <c r="F237" s="7"/>
      <c r="G237" s="6">
        <v>3</v>
      </c>
      <c r="H237" s="6" t="s">
        <v>187</v>
      </c>
      <c r="I237" s="16">
        <v>3</v>
      </c>
      <c r="J237" s="7" t="s">
        <v>667</v>
      </c>
      <c r="K237" s="6"/>
      <c r="L237" s="6"/>
      <c r="M237" s="4" t="s">
        <v>853</v>
      </c>
      <c r="N237" s="4" t="s">
        <v>858</v>
      </c>
      <c r="O237" s="4" t="s">
        <v>865</v>
      </c>
      <c r="P237" s="4" t="s">
        <v>870</v>
      </c>
      <c r="Q237" s="5">
        <f t="shared" ref="Q237:Q238" si="22">IF((COUNT(E237)+COUNT(G237)+COUNT(I237)+COUNT(K237))=2,
   IF(MIN(E237,G237,I237,K237)=MAX(E237,G237,I237,K237),MIN(E237,G237,I237,K237),"final grade?"),
"final grade?")</f>
        <v>3</v>
      </c>
    </row>
    <row r="238" spans="1:17" ht="15.75" customHeight="1" x14ac:dyDescent="0.2">
      <c r="A238" s="6" t="s">
        <v>658</v>
      </c>
      <c r="B238" s="6" t="s">
        <v>22</v>
      </c>
      <c r="C238" s="6" t="s">
        <v>871</v>
      </c>
      <c r="D238" s="2" t="s">
        <v>668</v>
      </c>
      <c r="E238" s="7">
        <v>4</v>
      </c>
      <c r="F238" s="7" t="s">
        <v>669</v>
      </c>
      <c r="G238" s="6"/>
      <c r="H238" s="6"/>
      <c r="I238" s="7"/>
      <c r="J238" s="7"/>
      <c r="K238" s="6">
        <v>4</v>
      </c>
      <c r="L238" s="6" t="s">
        <v>670</v>
      </c>
      <c r="M238" s="4" t="s">
        <v>853</v>
      </c>
      <c r="N238" s="4" t="s">
        <v>858</v>
      </c>
      <c r="O238" s="4" t="s">
        <v>865</v>
      </c>
      <c r="P238" s="4" t="s">
        <v>870</v>
      </c>
      <c r="Q238" s="5">
        <f t="shared" si="22"/>
        <v>4</v>
      </c>
    </row>
    <row r="239" spans="1:17" ht="15.75" customHeight="1" x14ac:dyDescent="0.2">
      <c r="A239" s="6" t="s">
        <v>658</v>
      </c>
      <c r="B239" s="6" t="s">
        <v>28</v>
      </c>
      <c r="C239" s="6" t="s">
        <v>871</v>
      </c>
      <c r="D239" s="2" t="s">
        <v>671</v>
      </c>
      <c r="E239" s="7">
        <v>5</v>
      </c>
      <c r="F239" s="7"/>
      <c r="G239" s="6"/>
      <c r="H239" s="6"/>
      <c r="I239" s="7"/>
      <c r="J239" s="7"/>
      <c r="K239" s="6">
        <v>2</v>
      </c>
      <c r="L239" s="6" t="s">
        <v>672</v>
      </c>
      <c r="M239" s="4" t="s">
        <v>673</v>
      </c>
      <c r="N239" s="4" t="s">
        <v>858</v>
      </c>
      <c r="O239" s="4" t="s">
        <v>865</v>
      </c>
      <c r="P239" s="4" t="s">
        <v>409</v>
      </c>
      <c r="Q239" s="5">
        <v>2</v>
      </c>
    </row>
    <row r="240" spans="1:17" ht="15.75" customHeight="1" x14ac:dyDescent="0.2">
      <c r="A240" s="6" t="s">
        <v>658</v>
      </c>
      <c r="B240" s="6" t="s">
        <v>33</v>
      </c>
      <c r="C240" s="6" t="s">
        <v>866</v>
      </c>
      <c r="D240" s="2" t="s">
        <v>674</v>
      </c>
      <c r="E240" s="7">
        <v>5</v>
      </c>
      <c r="F240" s="7"/>
      <c r="G240" s="6"/>
      <c r="H240" s="6"/>
      <c r="I240" s="16">
        <v>5</v>
      </c>
      <c r="J240" s="7"/>
      <c r="K240" s="6"/>
      <c r="L240" s="6"/>
      <c r="M240" s="4" t="s">
        <v>853</v>
      </c>
      <c r="N240" s="4" t="s">
        <v>858</v>
      </c>
      <c r="O240" s="4" t="s">
        <v>865</v>
      </c>
      <c r="P240" s="4" t="s">
        <v>870</v>
      </c>
      <c r="Q240" s="5">
        <f>IF((COUNT(E240)+COUNT(G240)+COUNT(I240)+COUNT(K240))=2,
   IF(MIN(E240,G240,I240,K240)=MAX(E240,G240,I240,K240),MIN(E240,G240,I240,K240),"final grade?"),
"final grade?")</f>
        <v>5</v>
      </c>
    </row>
    <row r="241" spans="1:17" ht="15.75" customHeight="1" x14ac:dyDescent="0.2">
      <c r="A241" s="6" t="s">
        <v>658</v>
      </c>
      <c r="B241" s="6" t="s">
        <v>39</v>
      </c>
      <c r="C241" s="6" t="s">
        <v>866</v>
      </c>
      <c r="D241" s="2" t="s">
        <v>675</v>
      </c>
      <c r="E241" s="7">
        <v>3</v>
      </c>
      <c r="F241" s="7" t="s">
        <v>676</v>
      </c>
      <c r="G241" s="6"/>
      <c r="H241" s="6"/>
      <c r="I241" s="16">
        <v>5</v>
      </c>
      <c r="J241" s="7"/>
      <c r="K241" s="6"/>
      <c r="L241" s="6"/>
      <c r="M241" s="4" t="s">
        <v>677</v>
      </c>
      <c r="N241" s="4" t="s">
        <v>858</v>
      </c>
      <c r="O241" s="4" t="s">
        <v>678</v>
      </c>
      <c r="P241" s="4" t="s">
        <v>870</v>
      </c>
      <c r="Q241" s="5">
        <v>4</v>
      </c>
    </row>
    <row r="242" spans="1:17" ht="15.75" customHeight="1" x14ac:dyDescent="0.2">
      <c r="A242" s="6" t="s">
        <v>679</v>
      </c>
      <c r="B242" s="6" t="s">
        <v>6</v>
      </c>
      <c r="C242" s="6" t="s">
        <v>866</v>
      </c>
      <c r="D242" s="2" t="s">
        <v>680</v>
      </c>
      <c r="E242" s="7">
        <v>4</v>
      </c>
      <c r="F242" s="7" t="s">
        <v>48</v>
      </c>
      <c r="G242" s="6"/>
      <c r="H242" s="6"/>
      <c r="I242" s="16">
        <v>5</v>
      </c>
      <c r="J242" s="7"/>
      <c r="K242" s="6"/>
      <c r="L242" s="6"/>
      <c r="M242" s="4" t="s">
        <v>681</v>
      </c>
      <c r="N242" s="4" t="s">
        <v>858</v>
      </c>
      <c r="O242" s="4" t="s">
        <v>682</v>
      </c>
      <c r="P242" s="4" t="s">
        <v>870</v>
      </c>
      <c r="Q242" s="5">
        <v>4</v>
      </c>
    </row>
    <row r="243" spans="1:17" ht="15.75" customHeight="1" x14ac:dyDescent="0.2">
      <c r="A243" s="6" t="s">
        <v>679</v>
      </c>
      <c r="B243" s="6" t="s">
        <v>9</v>
      </c>
      <c r="C243" s="6" t="s">
        <v>873</v>
      </c>
      <c r="D243" s="2" t="s">
        <v>683</v>
      </c>
      <c r="E243" s="7"/>
      <c r="F243" s="7"/>
      <c r="G243" s="6">
        <v>3</v>
      </c>
      <c r="H243" s="6" t="s">
        <v>610</v>
      </c>
      <c r="I243" s="7"/>
      <c r="J243" s="7"/>
      <c r="K243" s="6">
        <v>3</v>
      </c>
      <c r="L243" s="6" t="s">
        <v>684</v>
      </c>
      <c r="M243" s="4" t="s">
        <v>853</v>
      </c>
      <c r="N243" s="4" t="s">
        <v>858</v>
      </c>
      <c r="O243" s="4" t="s">
        <v>865</v>
      </c>
      <c r="P243" s="4" t="s">
        <v>870</v>
      </c>
      <c r="Q243" s="5">
        <f t="shared" ref="Q243:Q245" si="23">IF((COUNT(E243)+COUNT(G243)+COUNT(I243)+COUNT(K243))=2,
   IF(MIN(E243,G243,I243,K243)=MAX(E243,G243,I243,K243),MIN(E243,G243,I243,K243),"final grade?"),
"final grade?")</f>
        <v>3</v>
      </c>
    </row>
    <row r="244" spans="1:17" ht="15.75" customHeight="1" x14ac:dyDescent="0.2">
      <c r="A244" s="6" t="s">
        <v>679</v>
      </c>
      <c r="B244" s="6" t="s">
        <v>13</v>
      </c>
      <c r="C244" s="6" t="s">
        <v>872</v>
      </c>
      <c r="D244" s="2" t="s">
        <v>685</v>
      </c>
      <c r="E244" s="7"/>
      <c r="F244" s="7"/>
      <c r="G244" s="6"/>
      <c r="H244" s="6"/>
      <c r="I244" s="16">
        <v>1</v>
      </c>
      <c r="J244" s="7"/>
      <c r="K244" s="6">
        <v>1</v>
      </c>
      <c r="L244" s="6"/>
      <c r="M244" s="4" t="s">
        <v>853</v>
      </c>
      <c r="N244" s="4" t="s">
        <v>858</v>
      </c>
      <c r="O244" s="4" t="s">
        <v>865</v>
      </c>
      <c r="P244" s="4" t="s">
        <v>870</v>
      </c>
      <c r="Q244" s="5">
        <f t="shared" si="23"/>
        <v>1</v>
      </c>
    </row>
    <row r="245" spans="1:17" ht="15.75" customHeight="1" x14ac:dyDescent="0.2">
      <c r="A245" s="6" t="s">
        <v>679</v>
      </c>
      <c r="B245" s="6" t="s">
        <v>18</v>
      </c>
      <c r="C245" s="6" t="s">
        <v>873</v>
      </c>
      <c r="D245" s="2" t="s">
        <v>686</v>
      </c>
      <c r="E245" s="7"/>
      <c r="F245" s="7"/>
      <c r="G245" s="6">
        <v>1</v>
      </c>
      <c r="H245" s="6" t="s">
        <v>112</v>
      </c>
      <c r="I245" s="7"/>
      <c r="J245" s="7"/>
      <c r="K245" s="6">
        <v>1</v>
      </c>
      <c r="L245" s="6" t="s">
        <v>687</v>
      </c>
      <c r="M245" s="4" t="s">
        <v>853</v>
      </c>
      <c r="N245" s="4" t="s">
        <v>858</v>
      </c>
      <c r="O245" s="4" t="s">
        <v>865</v>
      </c>
      <c r="P245" s="4" t="s">
        <v>870</v>
      </c>
      <c r="Q245" s="5">
        <f t="shared" si="23"/>
        <v>1</v>
      </c>
    </row>
    <row r="246" spans="1:17" ht="15.75" customHeight="1" x14ac:dyDescent="0.2">
      <c r="A246" s="6" t="s">
        <v>679</v>
      </c>
      <c r="B246" s="6" t="s">
        <v>22</v>
      </c>
      <c r="C246" s="6" t="s">
        <v>866</v>
      </c>
      <c r="D246" s="2" t="s">
        <v>688</v>
      </c>
      <c r="E246" s="7">
        <v>5</v>
      </c>
      <c r="F246" s="7"/>
      <c r="G246" s="6"/>
      <c r="H246" s="6"/>
      <c r="I246" s="16">
        <v>4</v>
      </c>
      <c r="J246" s="7" t="s">
        <v>689</v>
      </c>
      <c r="K246" s="6"/>
      <c r="L246" s="6"/>
      <c r="M246" s="4" t="s">
        <v>690</v>
      </c>
      <c r="N246" s="4" t="s">
        <v>858</v>
      </c>
      <c r="O246" s="4" t="s">
        <v>865</v>
      </c>
      <c r="P246" s="4" t="s">
        <v>870</v>
      </c>
      <c r="Q246" s="5">
        <v>4</v>
      </c>
    </row>
    <row r="247" spans="1:17" ht="15.75" customHeight="1" x14ac:dyDescent="0.2">
      <c r="A247" s="6" t="s">
        <v>679</v>
      </c>
      <c r="B247" s="6" t="s">
        <v>28</v>
      </c>
      <c r="C247" s="6" t="s">
        <v>873</v>
      </c>
      <c r="D247" s="2" t="s">
        <v>691</v>
      </c>
      <c r="E247" s="7"/>
      <c r="F247" s="7"/>
      <c r="G247" s="6">
        <v>2</v>
      </c>
      <c r="H247" s="6" t="s">
        <v>553</v>
      </c>
      <c r="I247" s="7"/>
      <c r="J247" s="7"/>
      <c r="K247" s="6">
        <v>2</v>
      </c>
      <c r="L247" s="6" t="s">
        <v>197</v>
      </c>
      <c r="M247" s="4" t="s">
        <v>853</v>
      </c>
      <c r="N247" s="4" t="s">
        <v>858</v>
      </c>
      <c r="O247" s="4" t="s">
        <v>865</v>
      </c>
      <c r="P247" s="4" t="s">
        <v>870</v>
      </c>
      <c r="Q247" s="5">
        <f t="shared" ref="Q247:Q248" si="24">IF((COUNT(E247)+COUNT(G247)+COUNT(I247)+COUNT(K247))=2,
   IF(MIN(E247,G247,I247,K247)=MAX(E247,G247,I247,K247),MIN(E247,G247,I247,K247),"final grade?"),
"final grade?")</f>
        <v>2</v>
      </c>
    </row>
    <row r="248" spans="1:17" ht="15.75" customHeight="1" x14ac:dyDescent="0.2">
      <c r="A248" s="6" t="s">
        <v>679</v>
      </c>
      <c r="B248" s="6" t="s">
        <v>33</v>
      </c>
      <c r="C248" s="6" t="s">
        <v>873</v>
      </c>
      <c r="D248" s="2" t="s">
        <v>692</v>
      </c>
      <c r="E248" s="7"/>
      <c r="F248" s="7"/>
      <c r="G248" s="6">
        <v>5</v>
      </c>
      <c r="H248" s="6"/>
      <c r="I248" s="7"/>
      <c r="J248" s="7"/>
      <c r="K248" s="6">
        <v>5</v>
      </c>
      <c r="L248" s="6"/>
      <c r="M248" s="4" t="s">
        <v>853</v>
      </c>
      <c r="N248" s="4" t="s">
        <v>858</v>
      </c>
      <c r="O248" s="4" t="s">
        <v>865</v>
      </c>
      <c r="P248" s="4" t="s">
        <v>870</v>
      </c>
      <c r="Q248" s="5">
        <f t="shared" si="24"/>
        <v>5</v>
      </c>
    </row>
    <row r="249" spans="1:17" ht="15.75" customHeight="1" x14ac:dyDescent="0.2">
      <c r="A249" s="6" t="s">
        <v>679</v>
      </c>
      <c r="B249" s="6" t="s">
        <v>39</v>
      </c>
      <c r="C249" s="6" t="s">
        <v>859</v>
      </c>
      <c r="D249" s="2" t="s">
        <v>693</v>
      </c>
      <c r="E249" s="7">
        <v>5</v>
      </c>
      <c r="F249" s="7"/>
      <c r="G249" s="6">
        <v>4</v>
      </c>
      <c r="H249" s="6" t="s">
        <v>694</v>
      </c>
      <c r="I249" s="7"/>
      <c r="J249" s="7"/>
      <c r="K249" s="6"/>
      <c r="L249" s="6"/>
      <c r="M249" s="4" t="s">
        <v>695</v>
      </c>
      <c r="N249" s="4" t="s">
        <v>858</v>
      </c>
      <c r="O249" s="4" t="s">
        <v>865</v>
      </c>
      <c r="P249" s="4" t="s">
        <v>870</v>
      </c>
      <c r="Q249" s="5">
        <v>4</v>
      </c>
    </row>
    <row r="250" spans="1:17" ht="15.75" customHeight="1" x14ac:dyDescent="0.2">
      <c r="A250" s="6" t="s">
        <v>696</v>
      </c>
      <c r="B250" s="6" t="s">
        <v>6</v>
      </c>
      <c r="C250" s="6" t="s">
        <v>871</v>
      </c>
      <c r="D250" s="2" t="s">
        <v>697</v>
      </c>
      <c r="E250" s="7">
        <v>5</v>
      </c>
      <c r="F250" s="7"/>
      <c r="G250" s="6"/>
      <c r="H250" s="6"/>
      <c r="I250" s="7"/>
      <c r="J250" s="7"/>
      <c r="K250" s="6">
        <v>5</v>
      </c>
      <c r="L250" s="6"/>
      <c r="M250" s="4" t="s">
        <v>853</v>
      </c>
      <c r="N250" s="4" t="s">
        <v>858</v>
      </c>
      <c r="O250" s="4" t="s">
        <v>865</v>
      </c>
      <c r="P250" s="4" t="s">
        <v>870</v>
      </c>
      <c r="Q250" s="5">
        <f t="shared" ref="Q250:Q252" si="25">IF((COUNT(E250)+COUNT(G250)+COUNT(I250)+COUNT(K250))=2,
   IF(MIN(E250,G250,I250,K250)=MAX(E250,G250,I250,K250),MIN(E250,G250,I250,K250),"final grade?"),
"final grade?")</f>
        <v>5</v>
      </c>
    </row>
    <row r="251" spans="1:17" ht="15.75" customHeight="1" x14ac:dyDescent="0.2">
      <c r="A251" s="6" t="s">
        <v>696</v>
      </c>
      <c r="B251" s="6" t="s">
        <v>9</v>
      </c>
      <c r="C251" s="6" t="s">
        <v>871</v>
      </c>
      <c r="D251" s="2" t="s">
        <v>698</v>
      </c>
      <c r="E251" s="7">
        <v>3</v>
      </c>
      <c r="F251" s="7" t="s">
        <v>11</v>
      </c>
      <c r="G251" s="6"/>
      <c r="H251" s="6"/>
      <c r="I251" s="7"/>
      <c r="J251" s="7"/>
      <c r="K251" s="6">
        <v>3</v>
      </c>
      <c r="L251" s="6" t="s">
        <v>699</v>
      </c>
      <c r="M251" s="4" t="s">
        <v>853</v>
      </c>
      <c r="N251" s="4" t="s">
        <v>858</v>
      </c>
      <c r="O251" s="4" t="s">
        <v>865</v>
      </c>
      <c r="P251" s="4" t="s">
        <v>870</v>
      </c>
      <c r="Q251" s="5">
        <f t="shared" si="25"/>
        <v>3</v>
      </c>
    </row>
    <row r="252" spans="1:17" ht="15.75" customHeight="1" x14ac:dyDescent="0.2">
      <c r="A252" s="6" t="s">
        <v>696</v>
      </c>
      <c r="B252" s="6" t="s">
        <v>13</v>
      </c>
      <c r="C252" s="6" t="s">
        <v>872</v>
      </c>
      <c r="D252" s="2" t="s">
        <v>700</v>
      </c>
      <c r="E252" s="7"/>
      <c r="F252" s="7"/>
      <c r="G252" s="6"/>
      <c r="H252" s="6"/>
      <c r="I252" s="16">
        <v>1</v>
      </c>
      <c r="J252" s="7"/>
      <c r="K252" s="6">
        <v>1</v>
      </c>
      <c r="L252" s="6"/>
      <c r="M252" s="4" t="s">
        <v>853</v>
      </c>
      <c r="N252" s="4" t="s">
        <v>858</v>
      </c>
      <c r="O252" s="4" t="s">
        <v>865</v>
      </c>
      <c r="P252" s="4" t="s">
        <v>870</v>
      </c>
      <c r="Q252" s="5">
        <f t="shared" si="25"/>
        <v>1</v>
      </c>
    </row>
    <row r="253" spans="1:17" ht="15.75" customHeight="1" x14ac:dyDescent="0.2">
      <c r="A253" s="6" t="s">
        <v>696</v>
      </c>
      <c r="B253" s="6" t="s">
        <v>18</v>
      </c>
      <c r="C253" s="6" t="s">
        <v>872</v>
      </c>
      <c r="D253" s="2" t="s">
        <v>701</v>
      </c>
      <c r="E253" s="7"/>
      <c r="F253" s="7"/>
      <c r="G253" s="6"/>
      <c r="H253" s="6"/>
      <c r="I253" s="16">
        <v>5</v>
      </c>
      <c r="J253" s="7"/>
      <c r="K253" s="6">
        <v>4</v>
      </c>
      <c r="L253" s="6" t="s">
        <v>702</v>
      </c>
      <c r="M253" s="4" t="s">
        <v>853</v>
      </c>
      <c r="N253" s="4" t="s">
        <v>858</v>
      </c>
      <c r="O253" s="4" t="s">
        <v>865</v>
      </c>
      <c r="P253" s="4" t="s">
        <v>703</v>
      </c>
      <c r="Q253" s="5">
        <v>5</v>
      </c>
    </row>
    <row r="254" spans="1:17" ht="15.75" customHeight="1" x14ac:dyDescent="0.2">
      <c r="A254" s="6" t="s">
        <v>696</v>
      </c>
      <c r="B254" s="6" t="s">
        <v>22</v>
      </c>
      <c r="C254" s="6" t="s">
        <v>872</v>
      </c>
      <c r="D254" s="2" t="s">
        <v>704</v>
      </c>
      <c r="E254" s="7"/>
      <c r="F254" s="7"/>
      <c r="G254" s="6"/>
      <c r="H254" s="6"/>
      <c r="I254" s="16">
        <v>3</v>
      </c>
      <c r="J254" s="7" t="s">
        <v>233</v>
      </c>
      <c r="K254" s="6">
        <v>5</v>
      </c>
      <c r="L254" s="6"/>
      <c r="M254" s="4" t="s">
        <v>853</v>
      </c>
      <c r="N254" s="4" t="s">
        <v>858</v>
      </c>
      <c r="O254" s="4" t="s">
        <v>705</v>
      </c>
      <c r="P254" s="4" t="s">
        <v>870</v>
      </c>
      <c r="Q254" s="5">
        <v>3</v>
      </c>
    </row>
    <row r="255" spans="1:17" ht="15.75" customHeight="1" x14ac:dyDescent="0.2">
      <c r="A255" s="6" t="s">
        <v>696</v>
      </c>
      <c r="B255" s="6" t="s">
        <v>28</v>
      </c>
      <c r="C255" s="6" t="s">
        <v>859</v>
      </c>
      <c r="D255" s="2" t="s">
        <v>706</v>
      </c>
      <c r="E255" s="7">
        <v>4</v>
      </c>
      <c r="F255" s="7" t="s">
        <v>48</v>
      </c>
      <c r="G255" s="6">
        <v>3</v>
      </c>
      <c r="H255" s="6" t="s">
        <v>707</v>
      </c>
      <c r="I255" s="7"/>
      <c r="J255" s="7"/>
      <c r="K255" s="6"/>
      <c r="L255" s="6"/>
      <c r="M255" s="4" t="s">
        <v>708</v>
      </c>
      <c r="N255" s="4" t="s">
        <v>858</v>
      </c>
      <c r="O255" s="4" t="s">
        <v>865</v>
      </c>
      <c r="P255" s="4" t="s">
        <v>870</v>
      </c>
      <c r="Q255" s="5">
        <v>3</v>
      </c>
    </row>
    <row r="256" spans="1:17" ht="15.75" customHeight="1" x14ac:dyDescent="0.2">
      <c r="A256" s="6" t="s">
        <v>696</v>
      </c>
      <c r="B256" s="6" t="s">
        <v>33</v>
      </c>
      <c r="C256" s="6" t="s">
        <v>859</v>
      </c>
      <c r="D256" s="2" t="s">
        <v>709</v>
      </c>
      <c r="E256" s="7">
        <v>5</v>
      </c>
      <c r="F256" s="7"/>
      <c r="G256" s="6">
        <v>5</v>
      </c>
      <c r="H256" s="6"/>
      <c r="I256" s="7"/>
      <c r="J256" s="7"/>
      <c r="K256" s="6"/>
      <c r="L256" s="6"/>
      <c r="M256" s="4" t="s">
        <v>853</v>
      </c>
      <c r="N256" s="4" t="s">
        <v>858</v>
      </c>
      <c r="O256" s="4" t="s">
        <v>865</v>
      </c>
      <c r="P256" s="4" t="s">
        <v>870</v>
      </c>
      <c r="Q256" s="5">
        <f t="shared" ref="Q256:Q257" si="26">IF((COUNT(E256)+COUNT(G256)+COUNT(I256)+COUNT(K256))=2,
   IF(MIN(E256,G256,I256,K256)=MAX(E256,G256,I256,K256),MIN(E256,G256,I256,K256),"final grade?"),
"final grade?")</f>
        <v>5</v>
      </c>
    </row>
    <row r="257" spans="1:17" ht="15.75" customHeight="1" x14ac:dyDescent="0.2">
      <c r="A257" s="6" t="s">
        <v>696</v>
      </c>
      <c r="B257" s="6" t="s">
        <v>39</v>
      </c>
      <c r="C257" s="6" t="s">
        <v>871</v>
      </c>
      <c r="D257" s="2" t="s">
        <v>710</v>
      </c>
      <c r="E257" s="7">
        <v>5</v>
      </c>
      <c r="F257" s="7"/>
      <c r="G257" s="6"/>
      <c r="H257" s="6"/>
      <c r="I257" s="7"/>
      <c r="J257" s="7"/>
      <c r="K257" s="6">
        <v>5</v>
      </c>
      <c r="L257" s="6" t="s">
        <v>711</v>
      </c>
      <c r="M257" s="4" t="s">
        <v>853</v>
      </c>
      <c r="N257" s="4" t="s">
        <v>858</v>
      </c>
      <c r="O257" s="4" t="s">
        <v>865</v>
      </c>
      <c r="P257" s="4" t="s">
        <v>870</v>
      </c>
      <c r="Q257" s="5">
        <f t="shared" si="26"/>
        <v>5</v>
      </c>
    </row>
    <row r="258" spans="1:17" ht="15.75" customHeight="1" x14ac:dyDescent="0.2">
      <c r="A258" s="6" t="s">
        <v>712</v>
      </c>
      <c r="B258" s="6" t="s">
        <v>6</v>
      </c>
      <c r="C258" s="6" t="s">
        <v>859</v>
      </c>
      <c r="D258" s="2" t="s">
        <v>713</v>
      </c>
      <c r="E258" s="7">
        <v>4</v>
      </c>
      <c r="F258" s="7" t="s">
        <v>48</v>
      </c>
      <c r="G258" s="6">
        <v>3</v>
      </c>
      <c r="H258" s="6" t="s">
        <v>74</v>
      </c>
      <c r="I258" s="7"/>
      <c r="J258" s="7"/>
      <c r="K258" s="6"/>
      <c r="L258" s="6"/>
      <c r="M258" s="4" t="s">
        <v>708</v>
      </c>
      <c r="N258" s="4" t="s">
        <v>858</v>
      </c>
      <c r="O258" s="4" t="s">
        <v>865</v>
      </c>
      <c r="P258" s="4" t="s">
        <v>870</v>
      </c>
      <c r="Q258" s="5">
        <v>3</v>
      </c>
    </row>
    <row r="259" spans="1:17" ht="15.75" customHeight="1" x14ac:dyDescent="0.2">
      <c r="A259" s="6" t="s">
        <v>712</v>
      </c>
      <c r="B259" s="6" t="s">
        <v>9</v>
      </c>
      <c r="C259" s="6" t="s">
        <v>871</v>
      </c>
      <c r="D259" s="2" t="s">
        <v>714</v>
      </c>
      <c r="E259" s="7">
        <v>2</v>
      </c>
      <c r="F259" s="7" t="s">
        <v>715</v>
      </c>
      <c r="G259" s="6"/>
      <c r="H259" s="6"/>
      <c r="I259" s="7"/>
      <c r="J259" s="7"/>
      <c r="K259" s="6">
        <v>2</v>
      </c>
      <c r="L259" s="6" t="s">
        <v>716</v>
      </c>
      <c r="M259" s="4" t="s">
        <v>853</v>
      </c>
      <c r="N259" s="4" t="s">
        <v>858</v>
      </c>
      <c r="O259" s="4" t="s">
        <v>865</v>
      </c>
      <c r="P259" s="4" t="s">
        <v>870</v>
      </c>
      <c r="Q259" s="5">
        <f>IF((COUNT(E259)+COUNT(G259)+COUNT(I259)+COUNT(K259))=2,
   IF(MIN(E259,G259,I259,K259)=MAX(E259,G259,I259,K259),MIN(E259,G259,I259,K259),"final grade?"),
"final grade?")</f>
        <v>2</v>
      </c>
    </row>
    <row r="260" spans="1:17" ht="15.75" customHeight="1" x14ac:dyDescent="0.2">
      <c r="A260" s="6" t="s">
        <v>712</v>
      </c>
      <c r="B260" s="6" t="s">
        <v>13</v>
      </c>
      <c r="C260" s="6" t="s">
        <v>872</v>
      </c>
      <c r="D260" s="2" t="s">
        <v>717</v>
      </c>
      <c r="E260" s="7"/>
      <c r="F260" s="7"/>
      <c r="G260" s="6"/>
      <c r="H260" s="6"/>
      <c r="I260" s="16">
        <v>4</v>
      </c>
      <c r="J260" s="7" t="s">
        <v>210</v>
      </c>
      <c r="K260" s="6">
        <v>2</v>
      </c>
      <c r="L260" s="6" t="s">
        <v>718</v>
      </c>
      <c r="M260" s="4" t="s">
        <v>853</v>
      </c>
      <c r="N260" s="4" t="s">
        <v>858</v>
      </c>
      <c r="O260" s="4" t="s">
        <v>68</v>
      </c>
      <c r="P260" s="4" t="s">
        <v>719</v>
      </c>
      <c r="Q260" s="5">
        <v>2</v>
      </c>
    </row>
    <row r="261" spans="1:17" ht="15.75" customHeight="1" x14ac:dyDescent="0.2">
      <c r="A261" s="6" t="s">
        <v>712</v>
      </c>
      <c r="B261" s="6" t="s">
        <v>18</v>
      </c>
      <c r="C261" s="6" t="s">
        <v>859</v>
      </c>
      <c r="D261" s="2" t="s">
        <v>720</v>
      </c>
      <c r="E261" s="7">
        <v>3</v>
      </c>
      <c r="F261" s="7" t="s">
        <v>251</v>
      </c>
      <c r="G261" s="6">
        <v>3</v>
      </c>
      <c r="H261" s="6" t="s">
        <v>187</v>
      </c>
      <c r="I261" s="7"/>
      <c r="J261" s="7"/>
      <c r="K261" s="6"/>
      <c r="L261" s="6"/>
      <c r="M261" s="4" t="s">
        <v>853</v>
      </c>
      <c r="N261" s="4" t="s">
        <v>858</v>
      </c>
      <c r="O261" s="4" t="s">
        <v>865</v>
      </c>
      <c r="P261" s="4" t="s">
        <v>870</v>
      </c>
      <c r="Q261" s="5">
        <f>IF((COUNT(E261)+COUNT(G261)+COUNT(I261)+COUNT(K261))=2,
   IF(MIN(E261,G261,I261,K261)=MAX(E261,G261,I261,K261),MIN(E261,G261,I261,K261),"final grade?"),
"final grade?")</f>
        <v>3</v>
      </c>
    </row>
    <row r="262" spans="1:17" ht="15.75" customHeight="1" x14ac:dyDescent="0.2">
      <c r="A262" s="6" t="s">
        <v>712</v>
      </c>
      <c r="B262" s="6" t="s">
        <v>22</v>
      </c>
      <c r="C262" s="6" t="s">
        <v>866</v>
      </c>
      <c r="D262" s="2" t="s">
        <v>721</v>
      </c>
      <c r="E262" s="7">
        <v>4</v>
      </c>
      <c r="F262" s="7" t="s">
        <v>722</v>
      </c>
      <c r="G262" s="6"/>
      <c r="H262" s="6"/>
      <c r="I262" s="16">
        <v>2</v>
      </c>
      <c r="J262" s="7" t="s">
        <v>325</v>
      </c>
      <c r="K262" s="6"/>
      <c r="L262" s="6"/>
      <c r="M262" s="4" t="s">
        <v>723</v>
      </c>
      <c r="N262" s="4" t="s">
        <v>858</v>
      </c>
      <c r="O262" s="4" t="s">
        <v>865</v>
      </c>
      <c r="P262" s="4" t="s">
        <v>870</v>
      </c>
      <c r="Q262" s="5">
        <v>2</v>
      </c>
    </row>
    <row r="263" spans="1:17" ht="15.75" customHeight="1" x14ac:dyDescent="0.2">
      <c r="A263" s="6" t="s">
        <v>712</v>
      </c>
      <c r="B263" s="6" t="s">
        <v>28</v>
      </c>
      <c r="C263" s="6" t="s">
        <v>872</v>
      </c>
      <c r="D263" s="2" t="s">
        <v>724</v>
      </c>
      <c r="E263" s="7"/>
      <c r="F263" s="7"/>
      <c r="G263" s="6"/>
      <c r="H263" s="6"/>
      <c r="I263" s="16">
        <v>5</v>
      </c>
      <c r="J263" s="7"/>
      <c r="K263" s="6">
        <v>5</v>
      </c>
      <c r="L263" s="6"/>
      <c r="M263" s="4" t="s">
        <v>853</v>
      </c>
      <c r="N263" s="4" t="s">
        <v>858</v>
      </c>
      <c r="O263" s="4" t="s">
        <v>865</v>
      </c>
      <c r="P263" s="4" t="s">
        <v>870</v>
      </c>
      <c r="Q263" s="5">
        <f t="shared" ref="Q263:Q264" si="27">IF((COUNT(E263)+COUNT(G263)+COUNT(I263)+COUNT(K263))=2,
   IF(MIN(E263,G263,I263,K263)=MAX(E263,G263,I263,K263),MIN(E263,G263,I263,K263),"final grade?"),
"final grade?")</f>
        <v>5</v>
      </c>
    </row>
    <row r="264" spans="1:17" ht="15.75" customHeight="1" x14ac:dyDescent="0.2">
      <c r="A264" s="6" t="s">
        <v>712</v>
      </c>
      <c r="B264" s="6" t="s">
        <v>33</v>
      </c>
      <c r="C264" s="6" t="s">
        <v>866</v>
      </c>
      <c r="D264" s="2" t="s">
        <v>725</v>
      </c>
      <c r="E264" s="7">
        <v>4</v>
      </c>
      <c r="F264" s="7" t="s">
        <v>726</v>
      </c>
      <c r="G264" s="6"/>
      <c r="H264" s="6"/>
      <c r="I264" s="16">
        <v>4</v>
      </c>
      <c r="J264" s="7" t="s">
        <v>399</v>
      </c>
      <c r="K264" s="6"/>
      <c r="L264" s="6"/>
      <c r="M264" s="4" t="s">
        <v>853</v>
      </c>
      <c r="N264" s="4" t="s">
        <v>858</v>
      </c>
      <c r="O264" s="4" t="s">
        <v>865</v>
      </c>
      <c r="P264" s="4" t="s">
        <v>870</v>
      </c>
      <c r="Q264" s="5">
        <f t="shared" si="27"/>
        <v>4</v>
      </c>
    </row>
    <row r="265" spans="1:17" ht="15.75" customHeight="1" x14ac:dyDescent="0.2">
      <c r="A265" s="6" t="s">
        <v>712</v>
      </c>
      <c r="B265" s="6" t="s">
        <v>39</v>
      </c>
      <c r="C265" s="6" t="s">
        <v>871</v>
      </c>
      <c r="D265" s="2" t="s">
        <v>727</v>
      </c>
      <c r="E265" s="7">
        <v>5</v>
      </c>
      <c r="F265" s="7" t="s">
        <v>421</v>
      </c>
      <c r="G265" s="6"/>
      <c r="H265" s="6"/>
      <c r="I265" s="7"/>
      <c r="J265" s="7"/>
      <c r="K265" s="6">
        <v>2</v>
      </c>
      <c r="L265" s="6" t="s">
        <v>728</v>
      </c>
      <c r="M265" s="10" t="s">
        <v>880</v>
      </c>
      <c r="N265" s="4" t="s">
        <v>858</v>
      </c>
      <c r="O265" s="4" t="s">
        <v>865</v>
      </c>
      <c r="P265" s="4" t="s">
        <v>729</v>
      </c>
      <c r="Q265" s="5">
        <v>4</v>
      </c>
    </row>
    <row r="266" spans="1:17" ht="15.75" customHeight="1" x14ac:dyDescent="0.2">
      <c r="A266" s="6" t="s">
        <v>730</v>
      </c>
      <c r="B266" s="6" t="s">
        <v>6</v>
      </c>
      <c r="C266" s="6" t="s">
        <v>866</v>
      </c>
      <c r="D266" s="2" t="s">
        <v>731</v>
      </c>
      <c r="E266" s="7">
        <v>5</v>
      </c>
      <c r="F266" s="7"/>
      <c r="G266" s="6"/>
      <c r="H266" s="6"/>
      <c r="I266" s="16">
        <v>5</v>
      </c>
      <c r="J266" s="7"/>
      <c r="K266" s="6"/>
      <c r="L266" s="6"/>
      <c r="M266" s="4" t="s">
        <v>853</v>
      </c>
      <c r="N266" s="4" t="s">
        <v>858</v>
      </c>
      <c r="O266" s="4" t="s">
        <v>865</v>
      </c>
      <c r="P266" s="4" t="s">
        <v>870</v>
      </c>
      <c r="Q266" s="5">
        <f>IF((COUNT(E266)+COUNT(G266)+COUNT(I266)+COUNT(K266))=2,
   IF(MIN(E266,G266,I266,K266)=MAX(E266,G266,I266,K266),MIN(E266,G266,I266,K266),"final grade?"),
"final grade?")</f>
        <v>5</v>
      </c>
    </row>
    <row r="267" spans="1:17" ht="15.75" customHeight="1" x14ac:dyDescent="0.2">
      <c r="A267" s="6" t="s">
        <v>730</v>
      </c>
      <c r="B267" s="6" t="s">
        <v>9</v>
      </c>
      <c r="C267" s="6" t="s">
        <v>866</v>
      </c>
      <c r="D267" s="2" t="s">
        <v>732</v>
      </c>
      <c r="E267" s="7">
        <v>2</v>
      </c>
      <c r="F267" s="7" t="s">
        <v>733</v>
      </c>
      <c r="G267" s="6"/>
      <c r="H267" s="6"/>
      <c r="I267" s="16">
        <v>1</v>
      </c>
      <c r="J267" s="7" t="s">
        <v>77</v>
      </c>
      <c r="K267" s="6"/>
      <c r="L267" s="6"/>
      <c r="M267" s="4" t="s">
        <v>734</v>
      </c>
      <c r="N267" s="4" t="s">
        <v>858</v>
      </c>
      <c r="O267" s="4" t="s">
        <v>865</v>
      </c>
      <c r="P267" s="4" t="s">
        <v>870</v>
      </c>
      <c r="Q267" s="5">
        <v>1</v>
      </c>
    </row>
    <row r="268" spans="1:17" ht="15.75" customHeight="1" x14ac:dyDescent="0.2">
      <c r="A268" s="6" t="s">
        <v>730</v>
      </c>
      <c r="B268" s="6" t="s">
        <v>13</v>
      </c>
      <c r="C268" s="6" t="s">
        <v>871</v>
      </c>
      <c r="D268" s="2" t="s">
        <v>735</v>
      </c>
      <c r="E268" s="7">
        <v>2</v>
      </c>
      <c r="F268" s="7" t="s">
        <v>736</v>
      </c>
      <c r="G268" s="6"/>
      <c r="H268" s="6"/>
      <c r="I268" s="7"/>
      <c r="J268" s="7"/>
      <c r="K268" s="6">
        <v>2</v>
      </c>
      <c r="L268" s="6" t="s">
        <v>737</v>
      </c>
      <c r="M268" s="4" t="s">
        <v>853</v>
      </c>
      <c r="N268" s="4" t="s">
        <v>858</v>
      </c>
      <c r="O268" s="4" t="s">
        <v>865</v>
      </c>
      <c r="P268" s="4" t="s">
        <v>870</v>
      </c>
      <c r="Q268" s="5">
        <f>IF((COUNT(E268)+COUNT(G268)+COUNT(I268)+COUNT(K268))=2,
   IF(MIN(E268,G268,I268,K268)=MAX(E268,G268,I268,K268),MIN(E268,G268,I268,K268),"final grade?"),
"final grade?")</f>
        <v>2</v>
      </c>
    </row>
    <row r="269" spans="1:17" ht="15.75" customHeight="1" x14ac:dyDescent="0.2">
      <c r="A269" s="6" t="s">
        <v>730</v>
      </c>
      <c r="B269" s="6" t="s">
        <v>18</v>
      </c>
      <c r="C269" s="6" t="s">
        <v>866</v>
      </c>
      <c r="D269" s="2" t="s">
        <v>738</v>
      </c>
      <c r="E269" s="7">
        <v>3</v>
      </c>
      <c r="F269" s="7" t="s">
        <v>251</v>
      </c>
      <c r="G269" s="6"/>
      <c r="H269" s="6"/>
      <c r="I269" s="16">
        <v>2</v>
      </c>
      <c r="J269" s="7" t="s">
        <v>739</v>
      </c>
      <c r="K269" s="6"/>
      <c r="L269" s="6"/>
      <c r="M269" s="4" t="s">
        <v>740</v>
      </c>
      <c r="N269" s="4" t="s">
        <v>858</v>
      </c>
      <c r="O269" s="4" t="s">
        <v>865</v>
      </c>
      <c r="P269" s="4" t="s">
        <v>870</v>
      </c>
      <c r="Q269" s="5">
        <v>2</v>
      </c>
    </row>
    <row r="270" spans="1:17" ht="15.75" customHeight="1" x14ac:dyDescent="0.2">
      <c r="A270" s="6" t="s">
        <v>730</v>
      </c>
      <c r="B270" s="6" t="s">
        <v>22</v>
      </c>
      <c r="C270" s="6" t="s">
        <v>872</v>
      </c>
      <c r="D270" s="2" t="s">
        <v>741</v>
      </c>
      <c r="E270" s="7"/>
      <c r="F270" s="7"/>
      <c r="G270" s="6"/>
      <c r="H270" s="6"/>
      <c r="I270" s="16">
        <v>3</v>
      </c>
      <c r="J270" s="7" t="s">
        <v>233</v>
      </c>
      <c r="K270" s="6">
        <v>4</v>
      </c>
      <c r="L270" s="6" t="s">
        <v>742</v>
      </c>
      <c r="M270" s="4" t="s">
        <v>853</v>
      </c>
      <c r="N270" s="4" t="s">
        <v>858</v>
      </c>
      <c r="O270" s="4" t="s">
        <v>865</v>
      </c>
      <c r="P270" s="4" t="s">
        <v>743</v>
      </c>
      <c r="Q270" s="5">
        <v>3</v>
      </c>
    </row>
    <row r="271" spans="1:17" ht="15.75" customHeight="1" x14ac:dyDescent="0.2">
      <c r="A271" s="6" t="s">
        <v>730</v>
      </c>
      <c r="B271" s="6" t="s">
        <v>28</v>
      </c>
      <c r="C271" s="6" t="s">
        <v>866</v>
      </c>
      <c r="D271" s="2" t="s">
        <v>744</v>
      </c>
      <c r="E271" s="7">
        <v>5</v>
      </c>
      <c r="F271" s="7"/>
      <c r="G271" s="6"/>
      <c r="H271" s="6"/>
      <c r="I271" s="16">
        <v>2</v>
      </c>
      <c r="J271" s="7" t="s">
        <v>745</v>
      </c>
      <c r="K271" s="6"/>
      <c r="L271" s="6"/>
      <c r="M271" s="10" t="s">
        <v>746</v>
      </c>
      <c r="N271" s="4" t="s">
        <v>858</v>
      </c>
      <c r="O271" s="4" t="s">
        <v>747</v>
      </c>
      <c r="P271" s="4" t="s">
        <v>870</v>
      </c>
      <c r="Q271" s="5">
        <v>5</v>
      </c>
    </row>
    <row r="272" spans="1:17" ht="15.75" customHeight="1" x14ac:dyDescent="0.2">
      <c r="A272" s="6" t="s">
        <v>730</v>
      </c>
      <c r="B272" s="6" t="s">
        <v>33</v>
      </c>
      <c r="C272" s="6" t="s">
        <v>873</v>
      </c>
      <c r="D272" s="2" t="s">
        <v>748</v>
      </c>
      <c r="E272" s="7"/>
      <c r="F272" s="7"/>
      <c r="G272" s="6">
        <v>5</v>
      </c>
      <c r="H272" s="6"/>
      <c r="I272" s="7"/>
      <c r="J272" s="7"/>
      <c r="K272" s="6">
        <v>5</v>
      </c>
      <c r="L272" s="6"/>
      <c r="M272" s="4" t="s">
        <v>853</v>
      </c>
      <c r="N272" s="4" t="s">
        <v>858</v>
      </c>
      <c r="O272" s="4" t="s">
        <v>865</v>
      </c>
      <c r="P272" s="4" t="s">
        <v>870</v>
      </c>
      <c r="Q272" s="5">
        <f>IF((COUNT(E272)+COUNT(G272)+COUNT(I272)+COUNT(K272))=2,
   IF(MIN(E272,G272,I272,K272)=MAX(E272,G272,I272,K272),MIN(E272,G272,I272,K272),"final grade?"),
"final grade?")</f>
        <v>5</v>
      </c>
    </row>
    <row r="273" spans="1:17" ht="15.75" customHeight="1" x14ac:dyDescent="0.2">
      <c r="A273" s="6" t="s">
        <v>730</v>
      </c>
      <c r="B273" s="6" t="s">
        <v>39</v>
      </c>
      <c r="C273" s="6" t="s">
        <v>866</v>
      </c>
      <c r="D273" s="2" t="s">
        <v>749</v>
      </c>
      <c r="E273" s="7">
        <v>4</v>
      </c>
      <c r="F273" s="7" t="s">
        <v>421</v>
      </c>
      <c r="G273" s="6"/>
      <c r="H273" s="6"/>
      <c r="I273" s="16">
        <v>5</v>
      </c>
      <c r="J273" s="7"/>
      <c r="K273" s="6"/>
      <c r="L273" s="6"/>
      <c r="M273" s="4" t="s">
        <v>750</v>
      </c>
      <c r="N273" s="4" t="s">
        <v>858</v>
      </c>
      <c r="O273" s="4" t="s">
        <v>865</v>
      </c>
      <c r="P273" s="4" t="s">
        <v>870</v>
      </c>
      <c r="Q273" s="5">
        <v>5</v>
      </c>
    </row>
    <row r="274" spans="1:17" ht="15.75" customHeight="1" x14ac:dyDescent="0.2">
      <c r="A274" s="6" t="s">
        <v>751</v>
      </c>
      <c r="B274" s="6" t="s">
        <v>6</v>
      </c>
      <c r="C274" s="6" t="s">
        <v>859</v>
      </c>
      <c r="D274" s="2" t="s">
        <v>752</v>
      </c>
      <c r="E274" s="7">
        <v>4</v>
      </c>
      <c r="F274" s="7" t="s">
        <v>48</v>
      </c>
      <c r="G274" s="6">
        <v>3</v>
      </c>
      <c r="H274" s="6" t="s">
        <v>74</v>
      </c>
      <c r="I274" s="7"/>
      <c r="J274" s="7"/>
      <c r="K274" s="6"/>
      <c r="L274" s="6"/>
      <c r="M274" s="4" t="s">
        <v>753</v>
      </c>
      <c r="N274" s="4" t="s">
        <v>858</v>
      </c>
      <c r="O274" s="4" t="s">
        <v>865</v>
      </c>
      <c r="P274" s="4" t="s">
        <v>870</v>
      </c>
      <c r="Q274" s="5">
        <v>3</v>
      </c>
    </row>
    <row r="275" spans="1:17" ht="15.75" customHeight="1" x14ac:dyDescent="0.2">
      <c r="A275" s="6" t="s">
        <v>751</v>
      </c>
      <c r="B275" s="6" t="s">
        <v>9</v>
      </c>
      <c r="C275" s="6" t="s">
        <v>871</v>
      </c>
      <c r="D275" s="2" t="s">
        <v>754</v>
      </c>
      <c r="E275" s="7">
        <v>2</v>
      </c>
      <c r="F275" s="7" t="s">
        <v>755</v>
      </c>
      <c r="G275" s="6"/>
      <c r="H275" s="6"/>
      <c r="I275" s="7"/>
      <c r="J275" s="7"/>
      <c r="K275" s="6">
        <v>2</v>
      </c>
      <c r="L275" s="6" t="s">
        <v>756</v>
      </c>
      <c r="M275" s="4" t="s">
        <v>853</v>
      </c>
      <c r="N275" s="4" t="s">
        <v>858</v>
      </c>
      <c r="O275" s="4" t="s">
        <v>865</v>
      </c>
      <c r="P275" s="4" t="s">
        <v>870</v>
      </c>
      <c r="Q275" s="5">
        <f>IF((COUNT(E275)+COUNT(G275)+COUNT(I275)+COUNT(K275))=2,
   IF(MIN(E275,G275,I275,K275)=MAX(E275,G275,I275,K275),MIN(E275,G275,I275,K275),"final grade?"),
"final grade?")</f>
        <v>2</v>
      </c>
    </row>
    <row r="276" spans="1:17" ht="15.75" customHeight="1" x14ac:dyDescent="0.2">
      <c r="A276" s="6" t="s">
        <v>751</v>
      </c>
      <c r="B276" s="6" t="s">
        <v>13</v>
      </c>
      <c r="C276" s="6" t="s">
        <v>859</v>
      </c>
      <c r="D276" s="2" t="s">
        <v>757</v>
      </c>
      <c r="E276" s="7">
        <v>2</v>
      </c>
      <c r="F276" s="7" t="s">
        <v>758</v>
      </c>
      <c r="G276" s="6">
        <v>1</v>
      </c>
      <c r="H276" s="6" t="s">
        <v>759</v>
      </c>
      <c r="I276" s="7"/>
      <c r="J276" s="7"/>
      <c r="K276" s="6"/>
      <c r="L276" s="6"/>
      <c r="M276" s="4" t="s">
        <v>760</v>
      </c>
      <c r="N276" s="4" t="s">
        <v>858</v>
      </c>
      <c r="O276" s="4" t="s">
        <v>865</v>
      </c>
      <c r="P276" s="4" t="s">
        <v>870</v>
      </c>
      <c r="Q276" s="5">
        <v>1</v>
      </c>
    </row>
    <row r="277" spans="1:17" ht="15.75" customHeight="1" x14ac:dyDescent="0.2">
      <c r="A277" s="6" t="s">
        <v>751</v>
      </c>
      <c r="B277" s="6" t="s">
        <v>18</v>
      </c>
      <c r="C277" s="6" t="s">
        <v>859</v>
      </c>
      <c r="D277" s="2" t="s">
        <v>761</v>
      </c>
      <c r="E277" s="7">
        <v>2</v>
      </c>
      <c r="F277" s="7" t="s">
        <v>762</v>
      </c>
      <c r="G277" s="6">
        <v>2</v>
      </c>
      <c r="H277" s="6" t="s">
        <v>763</v>
      </c>
      <c r="I277" s="7"/>
      <c r="J277" s="7"/>
      <c r="K277" s="6"/>
      <c r="L277" s="6"/>
      <c r="M277" s="4" t="s">
        <v>853</v>
      </c>
      <c r="N277" s="4" t="s">
        <v>858</v>
      </c>
      <c r="O277" s="4" t="s">
        <v>865</v>
      </c>
      <c r="P277" s="4" t="s">
        <v>870</v>
      </c>
      <c r="Q277" s="5">
        <f t="shared" ref="Q277:Q278" si="28">IF((COUNT(E277)+COUNT(G277)+COUNT(I277)+COUNT(K277))=2,
   IF(MIN(E277,G277,I277,K277)=MAX(E277,G277,I277,K277),MIN(E277,G277,I277,K277),"final grade?"),
"final grade?")</f>
        <v>2</v>
      </c>
    </row>
    <row r="278" spans="1:17" ht="15.75" customHeight="1" x14ac:dyDescent="0.2">
      <c r="A278" s="6" t="s">
        <v>751</v>
      </c>
      <c r="B278" s="6" t="s">
        <v>22</v>
      </c>
      <c r="C278" s="6" t="s">
        <v>873</v>
      </c>
      <c r="D278" s="2" t="s">
        <v>764</v>
      </c>
      <c r="E278" s="7"/>
      <c r="F278" s="7"/>
      <c r="G278" s="6">
        <v>2</v>
      </c>
      <c r="H278" s="6" t="s">
        <v>765</v>
      </c>
      <c r="I278" s="7"/>
      <c r="J278" s="7"/>
      <c r="K278" s="6">
        <v>2</v>
      </c>
      <c r="L278" s="6" t="s">
        <v>756</v>
      </c>
      <c r="M278" s="4" t="s">
        <v>853</v>
      </c>
      <c r="N278" s="4" t="s">
        <v>858</v>
      </c>
      <c r="O278" s="4" t="s">
        <v>865</v>
      </c>
      <c r="P278" s="4" t="s">
        <v>870</v>
      </c>
      <c r="Q278" s="5">
        <f t="shared" si="28"/>
        <v>2</v>
      </c>
    </row>
    <row r="279" spans="1:17" ht="15.75" customHeight="1" x14ac:dyDescent="0.2">
      <c r="A279" s="6" t="s">
        <v>751</v>
      </c>
      <c r="B279" s="6" t="s">
        <v>28</v>
      </c>
      <c r="C279" s="6" t="s">
        <v>867</v>
      </c>
      <c r="D279" s="2" t="s">
        <v>766</v>
      </c>
      <c r="E279" s="7"/>
      <c r="F279" s="7"/>
      <c r="G279" s="6">
        <v>2</v>
      </c>
      <c r="H279" s="6" t="s">
        <v>553</v>
      </c>
      <c r="I279" s="16">
        <v>1</v>
      </c>
      <c r="J279" s="7" t="s">
        <v>143</v>
      </c>
      <c r="K279" s="6"/>
      <c r="L279" s="6"/>
      <c r="M279" s="4" t="s">
        <v>853</v>
      </c>
      <c r="N279" s="4" t="s">
        <v>858</v>
      </c>
      <c r="O279" s="4" t="s">
        <v>767</v>
      </c>
      <c r="P279" s="4" t="s">
        <v>870</v>
      </c>
      <c r="Q279" s="5">
        <v>2</v>
      </c>
    </row>
    <row r="280" spans="1:17" ht="15.75" customHeight="1" x14ac:dyDescent="0.2">
      <c r="A280" s="6" t="s">
        <v>751</v>
      </c>
      <c r="B280" s="6" t="s">
        <v>33</v>
      </c>
      <c r="C280" s="6" t="s">
        <v>859</v>
      </c>
      <c r="D280" s="2" t="s">
        <v>768</v>
      </c>
      <c r="E280" s="7">
        <v>1</v>
      </c>
      <c r="F280" s="7"/>
      <c r="G280" s="6">
        <v>1</v>
      </c>
      <c r="H280" s="6" t="s">
        <v>769</v>
      </c>
      <c r="I280" s="7"/>
      <c r="J280" s="7"/>
      <c r="K280" s="6"/>
      <c r="L280" s="6"/>
      <c r="M280" s="4" t="s">
        <v>853</v>
      </c>
      <c r="N280" s="4" t="s">
        <v>858</v>
      </c>
      <c r="O280" s="4" t="s">
        <v>865</v>
      </c>
      <c r="P280" s="4" t="s">
        <v>870</v>
      </c>
      <c r="Q280" s="5">
        <f t="shared" ref="Q280:Q281" si="29">IF((COUNT(E280)+COUNT(G280)+COUNT(I280)+COUNT(K280))=2,
   IF(MIN(E280,G280,I280,K280)=MAX(E280,G280,I280,K280),MIN(E280,G280,I280,K280),"final grade?"),
"final grade?")</f>
        <v>1</v>
      </c>
    </row>
    <row r="281" spans="1:17" ht="15.75" customHeight="1" x14ac:dyDescent="0.2">
      <c r="A281" s="6" t="s">
        <v>751</v>
      </c>
      <c r="B281" s="6" t="s">
        <v>39</v>
      </c>
      <c r="C281" s="6" t="s">
        <v>872</v>
      </c>
      <c r="D281" s="2" t="s">
        <v>770</v>
      </c>
      <c r="E281" s="7"/>
      <c r="F281" s="7"/>
      <c r="G281" s="6"/>
      <c r="H281" s="6"/>
      <c r="I281" s="16">
        <v>1</v>
      </c>
      <c r="J281" s="7" t="s">
        <v>143</v>
      </c>
      <c r="K281" s="6">
        <v>1</v>
      </c>
      <c r="L281" s="6"/>
      <c r="M281" s="4" t="s">
        <v>853</v>
      </c>
      <c r="N281" s="4" t="s">
        <v>858</v>
      </c>
      <c r="O281" s="4" t="s">
        <v>865</v>
      </c>
      <c r="P281" s="4" t="s">
        <v>870</v>
      </c>
      <c r="Q281" s="5">
        <f t="shared" si="29"/>
        <v>1</v>
      </c>
    </row>
    <row r="282" spans="1:17" ht="15.75" customHeight="1" x14ac:dyDescent="0.2">
      <c r="A282" s="6" t="s">
        <v>771</v>
      </c>
      <c r="B282" s="6" t="s">
        <v>6</v>
      </c>
      <c r="C282" s="6" t="s">
        <v>867</v>
      </c>
      <c r="D282" s="2" t="s">
        <v>772</v>
      </c>
      <c r="E282" s="7"/>
      <c r="F282" s="7"/>
      <c r="G282" s="6">
        <v>4</v>
      </c>
      <c r="H282" s="6" t="s">
        <v>773</v>
      </c>
      <c r="I282" s="16">
        <v>5</v>
      </c>
      <c r="J282" s="7"/>
      <c r="K282" s="6"/>
      <c r="L282" s="6"/>
      <c r="M282" s="4" t="s">
        <v>853</v>
      </c>
      <c r="N282" s="4" t="s">
        <v>858</v>
      </c>
      <c r="O282" s="4" t="s">
        <v>297</v>
      </c>
      <c r="P282" s="4" t="s">
        <v>870</v>
      </c>
      <c r="Q282" s="5">
        <v>4</v>
      </c>
    </row>
    <row r="283" spans="1:17" ht="15.75" customHeight="1" x14ac:dyDescent="0.2">
      <c r="A283" s="6" t="s">
        <v>771</v>
      </c>
      <c r="B283" s="6" t="s">
        <v>9</v>
      </c>
      <c r="C283" s="6" t="s">
        <v>866</v>
      </c>
      <c r="D283" s="2" t="s">
        <v>774</v>
      </c>
      <c r="E283" s="7">
        <v>3</v>
      </c>
      <c r="F283" s="7" t="s">
        <v>11</v>
      </c>
      <c r="G283" s="6"/>
      <c r="H283" s="6"/>
      <c r="I283" s="16">
        <v>1</v>
      </c>
      <c r="J283" s="7" t="s">
        <v>775</v>
      </c>
      <c r="K283" s="6"/>
      <c r="L283" s="6"/>
      <c r="M283" s="4" t="s">
        <v>776</v>
      </c>
      <c r="N283" s="4" t="s">
        <v>858</v>
      </c>
      <c r="O283" s="4" t="s">
        <v>777</v>
      </c>
      <c r="P283" s="4" t="s">
        <v>870</v>
      </c>
      <c r="Q283" s="5">
        <v>3</v>
      </c>
    </row>
    <row r="284" spans="1:17" ht="15.75" customHeight="1" x14ac:dyDescent="0.2">
      <c r="A284" s="6" t="s">
        <v>771</v>
      </c>
      <c r="B284" s="6" t="s">
        <v>13</v>
      </c>
      <c r="C284" s="6" t="s">
        <v>867</v>
      </c>
      <c r="D284" s="2" t="s">
        <v>778</v>
      </c>
      <c r="E284" s="7"/>
      <c r="F284" s="7"/>
      <c r="G284" s="6">
        <v>1</v>
      </c>
      <c r="H284" s="6"/>
      <c r="I284" s="16">
        <v>1</v>
      </c>
      <c r="J284" s="7"/>
      <c r="K284" s="6"/>
      <c r="L284" s="6"/>
      <c r="M284" s="4" t="s">
        <v>853</v>
      </c>
      <c r="N284" s="4" t="s">
        <v>858</v>
      </c>
      <c r="O284" s="4" t="s">
        <v>865</v>
      </c>
      <c r="P284" s="4" t="s">
        <v>870</v>
      </c>
      <c r="Q284" s="5">
        <f t="shared" ref="Q284:Q288" si="30">IF((COUNT(E284)+COUNT(G284)+COUNT(I284)+COUNT(K284))=2,
   IF(MIN(E284,G284,I284,K284)=MAX(E284,G284,I284,K284),MIN(E284,G284,I284,K284),"final grade?"),
"final grade?")</f>
        <v>1</v>
      </c>
    </row>
    <row r="285" spans="1:17" ht="15.75" customHeight="1" x14ac:dyDescent="0.2">
      <c r="A285" s="6" t="s">
        <v>771</v>
      </c>
      <c r="B285" s="6" t="s">
        <v>18</v>
      </c>
      <c r="C285" s="6" t="s">
        <v>872</v>
      </c>
      <c r="D285" s="2" t="s">
        <v>779</v>
      </c>
      <c r="E285" s="7"/>
      <c r="F285" s="7"/>
      <c r="G285" s="6"/>
      <c r="H285" s="6"/>
      <c r="I285" s="16">
        <v>1</v>
      </c>
      <c r="J285" s="7" t="s">
        <v>780</v>
      </c>
      <c r="K285" s="6">
        <v>1</v>
      </c>
      <c r="L285" s="6" t="s">
        <v>781</v>
      </c>
      <c r="M285" s="4" t="s">
        <v>853</v>
      </c>
      <c r="N285" s="4" t="s">
        <v>858</v>
      </c>
      <c r="O285" s="4" t="s">
        <v>865</v>
      </c>
      <c r="P285" s="4" t="s">
        <v>870</v>
      </c>
      <c r="Q285" s="5">
        <f t="shared" si="30"/>
        <v>1</v>
      </c>
    </row>
    <row r="286" spans="1:17" ht="15.75" customHeight="1" x14ac:dyDescent="0.2">
      <c r="A286" s="6" t="s">
        <v>771</v>
      </c>
      <c r="B286" s="6" t="s">
        <v>22</v>
      </c>
      <c r="C286" s="6" t="s">
        <v>873</v>
      </c>
      <c r="D286" s="2" t="s">
        <v>782</v>
      </c>
      <c r="E286" s="7"/>
      <c r="F286" s="7"/>
      <c r="G286" s="6">
        <v>2</v>
      </c>
      <c r="H286" s="6"/>
      <c r="I286" s="7"/>
      <c r="J286" s="7"/>
      <c r="K286" s="6">
        <v>2</v>
      </c>
      <c r="L286" s="6" t="s">
        <v>783</v>
      </c>
      <c r="M286" s="4" t="s">
        <v>853</v>
      </c>
      <c r="N286" s="4" t="s">
        <v>858</v>
      </c>
      <c r="O286" s="4" t="s">
        <v>865</v>
      </c>
      <c r="P286" s="4" t="s">
        <v>870</v>
      </c>
      <c r="Q286" s="5">
        <f t="shared" si="30"/>
        <v>2</v>
      </c>
    </row>
    <row r="287" spans="1:17" ht="15.75" customHeight="1" x14ac:dyDescent="0.2">
      <c r="A287" s="6" t="s">
        <v>771</v>
      </c>
      <c r="B287" s="6" t="s">
        <v>28</v>
      </c>
      <c r="C287" s="6" t="s">
        <v>867</v>
      </c>
      <c r="D287" s="2" t="s">
        <v>784</v>
      </c>
      <c r="E287" s="7"/>
      <c r="F287" s="7"/>
      <c r="G287" s="6">
        <v>1</v>
      </c>
      <c r="H287" s="6" t="s">
        <v>785</v>
      </c>
      <c r="I287" s="16">
        <v>1</v>
      </c>
      <c r="J287" s="7" t="s">
        <v>143</v>
      </c>
      <c r="K287" s="6"/>
      <c r="L287" s="6"/>
      <c r="M287" s="4" t="s">
        <v>853</v>
      </c>
      <c r="N287" s="4" t="s">
        <v>858</v>
      </c>
      <c r="O287" s="4" t="s">
        <v>865</v>
      </c>
      <c r="P287" s="4" t="s">
        <v>870</v>
      </c>
      <c r="Q287" s="5">
        <f t="shared" si="30"/>
        <v>1</v>
      </c>
    </row>
    <row r="288" spans="1:17" ht="15.75" customHeight="1" x14ac:dyDescent="0.2">
      <c r="A288" s="6" t="s">
        <v>771</v>
      </c>
      <c r="B288" s="6" t="s">
        <v>33</v>
      </c>
      <c r="C288" s="6" t="s">
        <v>873</v>
      </c>
      <c r="D288" s="2" t="s">
        <v>786</v>
      </c>
      <c r="E288" s="7"/>
      <c r="F288" s="7"/>
      <c r="G288" s="6">
        <v>3</v>
      </c>
      <c r="H288" s="6" t="s">
        <v>80</v>
      </c>
      <c r="I288" s="7"/>
      <c r="J288" s="7"/>
      <c r="K288" s="6">
        <v>3</v>
      </c>
      <c r="L288" s="6" t="s">
        <v>787</v>
      </c>
      <c r="M288" s="4" t="s">
        <v>853</v>
      </c>
      <c r="N288" s="4" t="s">
        <v>858</v>
      </c>
      <c r="O288" s="4" t="s">
        <v>865</v>
      </c>
      <c r="P288" s="4" t="s">
        <v>870</v>
      </c>
      <c r="Q288" s="5">
        <f t="shared" si="30"/>
        <v>3</v>
      </c>
    </row>
    <row r="289" spans="1:17" ht="15.75" customHeight="1" x14ac:dyDescent="0.2">
      <c r="A289" s="6" t="s">
        <v>771</v>
      </c>
      <c r="B289" s="6" t="s">
        <v>39</v>
      </c>
      <c r="C289" s="6" t="s">
        <v>859</v>
      </c>
      <c r="D289" s="2" t="s">
        <v>788</v>
      </c>
      <c r="E289" s="7">
        <v>1</v>
      </c>
      <c r="F289" s="7"/>
      <c r="G289" s="6">
        <v>2</v>
      </c>
      <c r="H289" s="6" t="s">
        <v>789</v>
      </c>
      <c r="I289" s="7"/>
      <c r="J289" s="7"/>
      <c r="K289" s="6"/>
      <c r="L289" s="6"/>
      <c r="M289" s="4" t="s">
        <v>790</v>
      </c>
      <c r="N289" s="4" t="s">
        <v>854</v>
      </c>
      <c r="O289" s="4" t="s">
        <v>865</v>
      </c>
      <c r="P289" s="4" t="s">
        <v>870</v>
      </c>
      <c r="Q289" s="5">
        <v>1</v>
      </c>
    </row>
    <row r="290" spans="1:17" ht="15.75" customHeight="1" x14ac:dyDescent="0.2">
      <c r="A290" s="6" t="s">
        <v>791</v>
      </c>
      <c r="B290" s="6" t="s">
        <v>6</v>
      </c>
      <c r="C290" s="6" t="s">
        <v>872</v>
      </c>
      <c r="D290" s="2" t="s">
        <v>792</v>
      </c>
      <c r="E290" s="7"/>
      <c r="F290" s="7"/>
      <c r="G290" s="6"/>
      <c r="H290" s="6"/>
      <c r="I290" s="16">
        <v>5</v>
      </c>
      <c r="J290" s="7"/>
      <c r="K290" s="6">
        <v>5</v>
      </c>
      <c r="L290" s="6" t="s">
        <v>793</v>
      </c>
      <c r="M290" s="4" t="s">
        <v>853</v>
      </c>
      <c r="N290" s="4" t="s">
        <v>858</v>
      </c>
      <c r="O290" s="4" t="s">
        <v>865</v>
      </c>
      <c r="P290" s="4" t="s">
        <v>870</v>
      </c>
      <c r="Q290" s="5">
        <f>IF((COUNT(E290)+COUNT(G290)+COUNT(I290)+COUNT(K290))=2,
   IF(MIN(E290,G290,I290,K290)=MAX(E290,G290,I290,K290),MIN(E290,G290,I290,K290),"final grade?"),
"final grade?")</f>
        <v>5</v>
      </c>
    </row>
    <row r="291" spans="1:17" ht="15.75" customHeight="1" x14ac:dyDescent="0.2">
      <c r="A291" s="6" t="s">
        <v>791</v>
      </c>
      <c r="B291" s="6" t="s">
        <v>9</v>
      </c>
      <c r="C291" s="6" t="s">
        <v>867</v>
      </c>
      <c r="D291" s="2" t="s">
        <v>794</v>
      </c>
      <c r="E291" s="7"/>
      <c r="F291" s="7"/>
      <c r="G291" s="6">
        <v>5</v>
      </c>
      <c r="H291" s="6"/>
      <c r="I291" s="16">
        <v>4</v>
      </c>
      <c r="J291" s="7" t="s">
        <v>795</v>
      </c>
      <c r="K291" s="6"/>
      <c r="L291" s="6"/>
      <c r="M291" s="4" t="s">
        <v>853</v>
      </c>
      <c r="N291" s="4" t="s">
        <v>297</v>
      </c>
      <c r="O291" s="4" t="s">
        <v>796</v>
      </c>
      <c r="P291" s="4" t="s">
        <v>870</v>
      </c>
      <c r="Q291" s="17">
        <v>4</v>
      </c>
    </row>
    <row r="292" spans="1:17" ht="15.75" customHeight="1" x14ac:dyDescent="0.2">
      <c r="A292" s="6" t="s">
        <v>791</v>
      </c>
      <c r="B292" s="6" t="s">
        <v>13</v>
      </c>
      <c r="C292" s="6" t="s">
        <v>859</v>
      </c>
      <c r="D292" s="2" t="s">
        <v>797</v>
      </c>
      <c r="E292" s="7">
        <v>4</v>
      </c>
      <c r="F292" s="7" t="s">
        <v>229</v>
      </c>
      <c r="G292" s="6">
        <v>4</v>
      </c>
      <c r="H292" s="6" t="s">
        <v>798</v>
      </c>
      <c r="I292" s="7"/>
      <c r="J292" s="7"/>
      <c r="K292" s="6"/>
      <c r="L292" s="6"/>
      <c r="M292" s="4" t="s">
        <v>853</v>
      </c>
      <c r="N292" s="4" t="s">
        <v>858</v>
      </c>
      <c r="O292" s="4" t="s">
        <v>865</v>
      </c>
      <c r="P292" s="4" t="s">
        <v>870</v>
      </c>
      <c r="Q292" s="5">
        <f>IF((COUNT(E292)+COUNT(G292)+COUNT(I292)+COUNT(K292))=2,
   IF(MIN(E292,G292,I292,K292)=MAX(E292,G292,I292,K292),MIN(E292,G292,I292,K292),"final grade?"),
"final grade?")</f>
        <v>4</v>
      </c>
    </row>
    <row r="293" spans="1:17" ht="15.75" customHeight="1" x14ac:dyDescent="0.2">
      <c r="A293" s="6" t="s">
        <v>791</v>
      </c>
      <c r="B293" s="6" t="s">
        <v>18</v>
      </c>
      <c r="C293" s="6" t="s">
        <v>867</v>
      </c>
      <c r="D293" s="2" t="s">
        <v>799</v>
      </c>
      <c r="E293" s="7"/>
      <c r="F293" s="7"/>
      <c r="G293" s="6">
        <v>5</v>
      </c>
      <c r="H293" s="6"/>
      <c r="I293" s="16">
        <v>4</v>
      </c>
      <c r="J293" s="7" t="s">
        <v>456</v>
      </c>
      <c r="K293" s="6"/>
      <c r="L293" s="6"/>
      <c r="M293" s="4" t="s">
        <v>853</v>
      </c>
      <c r="N293" s="4" t="s">
        <v>297</v>
      </c>
      <c r="O293" s="4" t="s">
        <v>800</v>
      </c>
      <c r="P293" s="4" t="s">
        <v>870</v>
      </c>
      <c r="Q293" s="17">
        <v>4</v>
      </c>
    </row>
    <row r="294" spans="1:17" ht="15.75" customHeight="1" x14ac:dyDescent="0.2">
      <c r="A294" s="6" t="s">
        <v>791</v>
      </c>
      <c r="B294" s="6" t="s">
        <v>22</v>
      </c>
      <c r="C294" s="6" t="s">
        <v>867</v>
      </c>
      <c r="D294" s="2" t="s">
        <v>801</v>
      </c>
      <c r="E294" s="7"/>
      <c r="F294" s="7"/>
      <c r="G294" s="6">
        <v>5</v>
      </c>
      <c r="H294" s="6"/>
      <c r="I294" s="16">
        <v>5</v>
      </c>
      <c r="J294" s="7"/>
      <c r="K294" s="6"/>
      <c r="L294" s="6"/>
      <c r="M294" s="4" t="s">
        <v>853</v>
      </c>
      <c r="N294" s="4" t="s">
        <v>858</v>
      </c>
      <c r="O294" s="4" t="s">
        <v>865</v>
      </c>
      <c r="P294" s="4" t="s">
        <v>870</v>
      </c>
      <c r="Q294" s="5">
        <f t="shared" ref="Q294:Q296" si="31">IF((COUNT(E294)+COUNT(G294)+COUNT(I294)+COUNT(K294))=2,
   IF(MIN(E294,G294,I294,K294)=MAX(E294,G294,I294,K294),MIN(E294,G294,I294,K294),"final grade?"),
"final grade?")</f>
        <v>5</v>
      </c>
    </row>
    <row r="295" spans="1:17" ht="15.75" customHeight="1" x14ac:dyDescent="0.2">
      <c r="A295" s="6" t="s">
        <v>791</v>
      </c>
      <c r="B295" s="6" t="s">
        <v>28</v>
      </c>
      <c r="C295" s="6" t="s">
        <v>871</v>
      </c>
      <c r="D295" s="2" t="s">
        <v>802</v>
      </c>
      <c r="E295" s="7">
        <v>5</v>
      </c>
      <c r="F295" s="7"/>
      <c r="G295" s="6"/>
      <c r="H295" s="6"/>
      <c r="I295" s="7"/>
      <c r="J295" s="7"/>
      <c r="K295" s="6">
        <v>5</v>
      </c>
      <c r="L295" s="6"/>
      <c r="M295" s="4" t="s">
        <v>853</v>
      </c>
      <c r="N295" s="4" t="s">
        <v>858</v>
      </c>
      <c r="O295" s="4" t="s">
        <v>865</v>
      </c>
      <c r="P295" s="4" t="s">
        <v>870</v>
      </c>
      <c r="Q295" s="5">
        <f t="shared" si="31"/>
        <v>5</v>
      </c>
    </row>
    <row r="296" spans="1:17" ht="15.75" customHeight="1" x14ac:dyDescent="0.2">
      <c r="A296" s="6" t="s">
        <v>791</v>
      </c>
      <c r="B296" s="6" t="s">
        <v>33</v>
      </c>
      <c r="C296" s="6" t="s">
        <v>867</v>
      </c>
      <c r="D296" s="2" t="s">
        <v>803</v>
      </c>
      <c r="E296" s="7"/>
      <c r="F296" s="7"/>
      <c r="G296" s="6">
        <v>5</v>
      </c>
      <c r="H296" s="6"/>
      <c r="I296" s="16">
        <v>5</v>
      </c>
      <c r="J296" s="7"/>
      <c r="K296" s="6"/>
      <c r="L296" s="6"/>
      <c r="M296" s="4" t="s">
        <v>853</v>
      </c>
      <c r="N296" s="4" t="s">
        <v>858</v>
      </c>
      <c r="O296" s="4" t="s">
        <v>865</v>
      </c>
      <c r="P296" s="4" t="s">
        <v>870</v>
      </c>
      <c r="Q296" s="5">
        <f t="shared" si="31"/>
        <v>5</v>
      </c>
    </row>
    <row r="297" spans="1:17" ht="15.75" customHeight="1" x14ac:dyDescent="0.2">
      <c r="A297" s="6" t="s">
        <v>791</v>
      </c>
      <c r="B297" s="6" t="s">
        <v>39</v>
      </c>
      <c r="C297" s="6" t="s">
        <v>866</v>
      </c>
      <c r="D297" s="2" t="s">
        <v>804</v>
      </c>
      <c r="E297" s="7">
        <v>2</v>
      </c>
      <c r="F297" s="7" t="s">
        <v>805</v>
      </c>
      <c r="G297" s="6"/>
      <c r="H297" s="6"/>
      <c r="I297" s="16">
        <v>1</v>
      </c>
      <c r="J297" s="7" t="s">
        <v>806</v>
      </c>
      <c r="K297" s="6"/>
      <c r="L297" s="6"/>
      <c r="M297" s="4" t="s">
        <v>760</v>
      </c>
      <c r="N297" s="4" t="s">
        <v>858</v>
      </c>
      <c r="O297" s="4" t="s">
        <v>865</v>
      </c>
      <c r="P297" s="4" t="s">
        <v>870</v>
      </c>
      <c r="Q297" s="5">
        <v>1</v>
      </c>
    </row>
    <row r="298" spans="1:17" ht="15.75" customHeight="1" x14ac:dyDescent="0.2">
      <c r="A298" s="6" t="s">
        <v>807</v>
      </c>
      <c r="B298" s="6" t="s">
        <v>6</v>
      </c>
      <c r="C298" s="6" t="s">
        <v>871</v>
      </c>
      <c r="D298" s="2" t="s">
        <v>808</v>
      </c>
      <c r="E298" s="7">
        <v>5</v>
      </c>
      <c r="F298" s="7"/>
      <c r="G298" s="6"/>
      <c r="H298" s="6"/>
      <c r="I298" s="7"/>
      <c r="J298" s="7"/>
      <c r="K298" s="6">
        <v>5</v>
      </c>
      <c r="L298" s="6" t="s">
        <v>809</v>
      </c>
      <c r="M298" s="4" t="s">
        <v>853</v>
      </c>
      <c r="N298" s="4" t="s">
        <v>858</v>
      </c>
      <c r="O298" s="4" t="s">
        <v>865</v>
      </c>
      <c r="P298" s="4" t="s">
        <v>870</v>
      </c>
      <c r="Q298" s="5">
        <f>IF((COUNT(E298)+COUNT(G298)+COUNT(I298)+COUNT(K298))=2,
   IF(MIN(E298,G298,I298,K298)=MAX(E298,G298,I298,K298),MIN(E298,G298,I298,K298),"final grade?"),
"final grade?")</f>
        <v>5</v>
      </c>
    </row>
    <row r="299" spans="1:17" ht="15.75" customHeight="1" x14ac:dyDescent="0.2">
      <c r="A299" s="6" t="s">
        <v>807</v>
      </c>
      <c r="B299" s="6" t="s">
        <v>9</v>
      </c>
      <c r="C299" s="6" t="s">
        <v>866</v>
      </c>
      <c r="D299" s="2" t="s">
        <v>810</v>
      </c>
      <c r="E299" s="7">
        <v>4</v>
      </c>
      <c r="F299" s="7" t="s">
        <v>811</v>
      </c>
      <c r="G299" s="6"/>
      <c r="H299" s="6"/>
      <c r="I299" s="16">
        <v>2</v>
      </c>
      <c r="J299" s="7" t="s">
        <v>812</v>
      </c>
      <c r="K299" s="6"/>
      <c r="L299" s="6"/>
      <c r="M299" s="4" t="s">
        <v>813</v>
      </c>
      <c r="N299" s="4" t="s">
        <v>858</v>
      </c>
      <c r="O299" s="4" t="s">
        <v>777</v>
      </c>
      <c r="P299" s="4" t="s">
        <v>870</v>
      </c>
      <c r="Q299" s="5">
        <v>3</v>
      </c>
    </row>
    <row r="300" spans="1:17" ht="15.75" customHeight="1" x14ac:dyDescent="0.2">
      <c r="A300" s="6" t="s">
        <v>807</v>
      </c>
      <c r="B300" s="6" t="s">
        <v>13</v>
      </c>
      <c r="C300" s="6" t="s">
        <v>867</v>
      </c>
      <c r="D300" s="2" t="s">
        <v>814</v>
      </c>
      <c r="E300" s="7"/>
      <c r="F300" s="7"/>
      <c r="G300" s="6">
        <v>1</v>
      </c>
      <c r="H300" s="6" t="s">
        <v>815</v>
      </c>
      <c r="I300" s="16">
        <v>1</v>
      </c>
      <c r="J300" s="7" t="s">
        <v>816</v>
      </c>
      <c r="K300" s="6"/>
      <c r="L300" s="6"/>
      <c r="M300" s="4" t="s">
        <v>853</v>
      </c>
      <c r="N300" s="4" t="s">
        <v>858</v>
      </c>
      <c r="O300" s="4" t="s">
        <v>865</v>
      </c>
      <c r="P300" s="4" t="s">
        <v>870</v>
      </c>
      <c r="Q300" s="5">
        <f t="shared" ref="Q300:Q301" si="32">IF((COUNT(E300)+COUNT(G300)+COUNT(I300)+COUNT(K300))=2,
   IF(MIN(E300,G300,I300,K300)=MAX(E300,G300,I300,K300),MIN(E300,G300,I300,K300),"final grade?"),
"final grade?")</f>
        <v>1</v>
      </c>
    </row>
    <row r="301" spans="1:17" ht="15.75" customHeight="1" x14ac:dyDescent="0.2">
      <c r="A301" s="6" t="s">
        <v>807</v>
      </c>
      <c r="B301" s="6" t="s">
        <v>18</v>
      </c>
      <c r="C301" s="6" t="s">
        <v>873</v>
      </c>
      <c r="D301" s="2" t="s">
        <v>817</v>
      </c>
      <c r="E301" s="7"/>
      <c r="F301" s="7"/>
      <c r="G301" s="6">
        <v>5</v>
      </c>
      <c r="H301" s="6"/>
      <c r="I301" s="7"/>
      <c r="J301" s="7"/>
      <c r="K301" s="6">
        <v>5</v>
      </c>
      <c r="L301" s="6"/>
      <c r="M301" s="4" t="s">
        <v>853</v>
      </c>
      <c r="N301" s="4" t="s">
        <v>858</v>
      </c>
      <c r="O301" s="4" t="s">
        <v>865</v>
      </c>
      <c r="P301" s="4" t="s">
        <v>870</v>
      </c>
      <c r="Q301" s="5">
        <f t="shared" si="32"/>
        <v>5</v>
      </c>
    </row>
    <row r="302" spans="1:17" ht="15.75" customHeight="1" x14ac:dyDescent="0.2">
      <c r="A302" s="6" t="s">
        <v>807</v>
      </c>
      <c r="B302" s="6" t="s">
        <v>22</v>
      </c>
      <c r="C302" s="6" t="s">
        <v>866</v>
      </c>
      <c r="D302" s="2" t="s">
        <v>818</v>
      </c>
      <c r="E302" s="7">
        <v>4</v>
      </c>
      <c r="F302" s="7" t="s">
        <v>819</v>
      </c>
      <c r="G302" s="6"/>
      <c r="H302" s="6"/>
      <c r="I302" s="7" t="s">
        <v>820</v>
      </c>
      <c r="J302" s="7" t="s">
        <v>821</v>
      </c>
      <c r="K302" s="6"/>
      <c r="L302" s="6"/>
      <c r="M302" s="4" t="s">
        <v>822</v>
      </c>
      <c r="N302" s="4" t="s">
        <v>858</v>
      </c>
      <c r="O302" s="4" t="s">
        <v>857</v>
      </c>
      <c r="P302" s="4" t="s">
        <v>870</v>
      </c>
      <c r="Q302" s="5">
        <v>3</v>
      </c>
    </row>
    <row r="303" spans="1:17" ht="15.75" customHeight="1" x14ac:dyDescent="0.2">
      <c r="A303" s="6" t="s">
        <v>807</v>
      </c>
      <c r="B303" s="6" t="s">
        <v>28</v>
      </c>
      <c r="C303" s="6" t="s">
        <v>859</v>
      </c>
      <c r="D303" s="2" t="s">
        <v>823</v>
      </c>
      <c r="E303" s="7">
        <v>5</v>
      </c>
      <c r="F303" s="7"/>
      <c r="G303" s="6">
        <v>5</v>
      </c>
      <c r="H303" s="6"/>
      <c r="I303" s="7"/>
      <c r="J303" s="7"/>
      <c r="K303" s="6"/>
      <c r="L303" s="6"/>
      <c r="M303" s="4" t="s">
        <v>853</v>
      </c>
      <c r="N303" s="4" t="s">
        <v>858</v>
      </c>
      <c r="O303" s="4" t="s">
        <v>865</v>
      </c>
      <c r="P303" s="4" t="s">
        <v>870</v>
      </c>
      <c r="Q303" s="5">
        <f t="shared" ref="Q303:Q304" si="33">IF((COUNT(E303)+COUNT(G303)+COUNT(I303)+COUNT(K303))=2,
   IF(MIN(E303,G303,I303,K303)=MAX(E303,G303,I303,K303),MIN(E303,G303,I303,K303),"final grade?"),
"final grade?")</f>
        <v>5</v>
      </c>
    </row>
    <row r="304" spans="1:17" ht="15.75" customHeight="1" x14ac:dyDescent="0.2">
      <c r="A304" s="6" t="s">
        <v>807</v>
      </c>
      <c r="B304" s="6" t="s">
        <v>33</v>
      </c>
      <c r="C304" s="6" t="s">
        <v>859</v>
      </c>
      <c r="D304" s="2" t="s">
        <v>824</v>
      </c>
      <c r="E304" s="7">
        <v>5</v>
      </c>
      <c r="F304" s="7"/>
      <c r="G304" s="6">
        <v>5</v>
      </c>
      <c r="H304" s="6"/>
      <c r="I304" s="7"/>
      <c r="J304" s="7"/>
      <c r="K304" s="6"/>
      <c r="L304" s="6"/>
      <c r="M304" s="4" t="s">
        <v>853</v>
      </c>
      <c r="N304" s="4" t="s">
        <v>858</v>
      </c>
      <c r="O304" s="4" t="s">
        <v>865</v>
      </c>
      <c r="P304" s="4" t="s">
        <v>870</v>
      </c>
      <c r="Q304" s="5">
        <f t="shared" si="33"/>
        <v>5</v>
      </c>
    </row>
    <row r="305" spans="1:17" ht="15.75" customHeight="1" x14ac:dyDescent="0.2">
      <c r="A305" s="6" t="s">
        <v>807</v>
      </c>
      <c r="B305" s="6" t="s">
        <v>39</v>
      </c>
      <c r="C305" s="6" t="s">
        <v>871</v>
      </c>
      <c r="D305" s="2" t="s">
        <v>825</v>
      </c>
      <c r="E305" s="7">
        <v>3</v>
      </c>
      <c r="F305" s="7" t="s">
        <v>826</v>
      </c>
      <c r="G305" s="6"/>
      <c r="H305" s="6"/>
      <c r="I305" s="7"/>
      <c r="J305" s="7"/>
      <c r="K305" s="6">
        <v>4</v>
      </c>
      <c r="L305" s="6" t="s">
        <v>827</v>
      </c>
      <c r="M305" s="4" t="s">
        <v>828</v>
      </c>
      <c r="N305" s="4" t="s">
        <v>858</v>
      </c>
      <c r="O305" s="4" t="s">
        <v>865</v>
      </c>
      <c r="P305" s="4" t="s">
        <v>409</v>
      </c>
      <c r="Q305" s="5">
        <v>4</v>
      </c>
    </row>
    <row r="306" spans="1:17" ht="15.75" customHeight="1" x14ac:dyDescent="0.2">
      <c r="A306" s="6" t="s">
        <v>829</v>
      </c>
      <c r="B306" s="6" t="s">
        <v>6</v>
      </c>
      <c r="C306" s="6" t="s">
        <v>872</v>
      </c>
      <c r="D306" s="2" t="s">
        <v>830</v>
      </c>
      <c r="E306" s="7"/>
      <c r="F306" s="7"/>
      <c r="G306" s="6"/>
      <c r="H306" s="6"/>
      <c r="I306" s="16">
        <v>4</v>
      </c>
      <c r="J306" s="7" t="s">
        <v>831</v>
      </c>
      <c r="K306" s="6">
        <v>4</v>
      </c>
      <c r="L306" s="6" t="s">
        <v>832</v>
      </c>
      <c r="M306" s="4" t="s">
        <v>853</v>
      </c>
      <c r="N306" s="4" t="s">
        <v>858</v>
      </c>
      <c r="O306" s="4" t="s">
        <v>865</v>
      </c>
      <c r="P306" s="4" t="s">
        <v>870</v>
      </c>
      <c r="Q306" s="5">
        <f>IF((COUNT(E306)+COUNT(G306)+COUNT(I306)+COUNT(K306))=2,
   IF(MIN(E306,G306,I306,K306)=MAX(E306,G306,I306,K306),MIN(E306,G306,I306,K306),"final grade?"),
"final grade?")</f>
        <v>4</v>
      </c>
    </row>
    <row r="307" spans="1:17" ht="15.75" customHeight="1" x14ac:dyDescent="0.2">
      <c r="A307" s="6" t="s">
        <v>829</v>
      </c>
      <c r="B307" s="6" t="s">
        <v>9</v>
      </c>
      <c r="C307" s="6" t="s">
        <v>867</v>
      </c>
      <c r="D307" s="2" t="s">
        <v>833</v>
      </c>
      <c r="E307" s="7"/>
      <c r="F307" s="7"/>
      <c r="G307" s="6">
        <v>3</v>
      </c>
      <c r="H307" s="6" t="s">
        <v>610</v>
      </c>
      <c r="I307" s="16">
        <v>4</v>
      </c>
      <c r="J307" s="7" t="s">
        <v>611</v>
      </c>
      <c r="K307" s="6"/>
      <c r="L307" s="6"/>
      <c r="M307" s="4" t="s">
        <v>853</v>
      </c>
      <c r="N307" s="4" t="s">
        <v>858</v>
      </c>
      <c r="O307" s="4" t="s">
        <v>50</v>
      </c>
      <c r="P307" s="4" t="s">
        <v>870</v>
      </c>
      <c r="Q307" s="5">
        <v>3</v>
      </c>
    </row>
    <row r="308" spans="1:17" ht="15.75" customHeight="1" x14ac:dyDescent="0.2">
      <c r="A308" s="6" t="s">
        <v>829</v>
      </c>
      <c r="B308" s="6" t="s">
        <v>13</v>
      </c>
      <c r="C308" s="6" t="s">
        <v>873</v>
      </c>
      <c r="D308" s="2" t="s">
        <v>834</v>
      </c>
      <c r="E308" s="7"/>
      <c r="F308" s="7"/>
      <c r="G308" s="6">
        <v>3</v>
      </c>
      <c r="H308" s="6" t="s">
        <v>109</v>
      </c>
      <c r="I308" s="7"/>
      <c r="J308" s="7"/>
      <c r="K308" s="6">
        <v>3</v>
      </c>
      <c r="L308" s="6" t="s">
        <v>835</v>
      </c>
      <c r="M308" s="4" t="s">
        <v>853</v>
      </c>
      <c r="N308" s="4" t="s">
        <v>858</v>
      </c>
      <c r="O308" s="4" t="s">
        <v>865</v>
      </c>
      <c r="P308" s="4" t="s">
        <v>870</v>
      </c>
      <c r="Q308" s="5">
        <f t="shared" ref="Q308:Q309" si="34">IF((COUNT(E308)+COUNT(G308)+COUNT(I308)+COUNT(K308))=2,
   IF(MIN(E308,G308,I308,K308)=MAX(E308,G308,I308,K308),MIN(E308,G308,I308,K308),"final grade?"),
"final grade?")</f>
        <v>3</v>
      </c>
    </row>
    <row r="309" spans="1:17" ht="15.75" customHeight="1" x14ac:dyDescent="0.2">
      <c r="A309" s="6" t="s">
        <v>829</v>
      </c>
      <c r="B309" s="6" t="s">
        <v>18</v>
      </c>
      <c r="C309" s="6" t="s">
        <v>859</v>
      </c>
      <c r="D309" s="2" t="s">
        <v>836</v>
      </c>
      <c r="E309" s="7">
        <v>3</v>
      </c>
      <c r="F309" s="7" t="s">
        <v>251</v>
      </c>
      <c r="G309" s="6">
        <v>3</v>
      </c>
      <c r="H309" s="6" t="s">
        <v>837</v>
      </c>
      <c r="I309" s="7"/>
      <c r="J309" s="7"/>
      <c r="K309" s="6"/>
      <c r="L309" s="6"/>
      <c r="M309" s="4" t="s">
        <v>853</v>
      </c>
      <c r="N309" s="4" t="s">
        <v>858</v>
      </c>
      <c r="O309" s="4" t="s">
        <v>865</v>
      </c>
      <c r="P309" s="4" t="s">
        <v>870</v>
      </c>
      <c r="Q309" s="5">
        <f t="shared" si="34"/>
        <v>3</v>
      </c>
    </row>
    <row r="310" spans="1:17" ht="15.75" customHeight="1" x14ac:dyDescent="0.2">
      <c r="A310" s="6" t="s">
        <v>829</v>
      </c>
      <c r="B310" s="6" t="s">
        <v>22</v>
      </c>
      <c r="C310" s="6" t="s">
        <v>866</v>
      </c>
      <c r="D310" s="2" t="s">
        <v>838</v>
      </c>
      <c r="E310" s="7">
        <v>4</v>
      </c>
      <c r="F310" s="7" t="s">
        <v>839</v>
      </c>
      <c r="G310" s="6"/>
      <c r="H310" s="6"/>
      <c r="I310" s="16">
        <v>2</v>
      </c>
      <c r="J310" s="7" t="s">
        <v>325</v>
      </c>
      <c r="K310" s="6"/>
      <c r="L310" s="6"/>
      <c r="M310" s="4" t="s">
        <v>840</v>
      </c>
      <c r="N310" s="4" t="s">
        <v>858</v>
      </c>
      <c r="O310" s="4" t="s">
        <v>865</v>
      </c>
      <c r="P310" s="4" t="s">
        <v>870</v>
      </c>
      <c r="Q310" s="5">
        <v>2</v>
      </c>
    </row>
    <row r="311" spans="1:17" ht="15.75" customHeight="1" x14ac:dyDescent="0.2">
      <c r="A311" s="6" t="s">
        <v>829</v>
      </c>
      <c r="B311" s="6" t="s">
        <v>28</v>
      </c>
      <c r="C311" s="6" t="s">
        <v>867</v>
      </c>
      <c r="D311" s="2" t="s">
        <v>841</v>
      </c>
      <c r="E311" s="7"/>
      <c r="F311" s="7"/>
      <c r="G311" s="6">
        <v>3</v>
      </c>
      <c r="H311" s="6" t="s">
        <v>842</v>
      </c>
      <c r="I311" s="16">
        <v>1</v>
      </c>
      <c r="J311" s="7" t="s">
        <v>843</v>
      </c>
      <c r="K311" s="6"/>
      <c r="L311" s="6"/>
      <c r="M311" s="4" t="s">
        <v>853</v>
      </c>
      <c r="N311" s="4" t="s">
        <v>858</v>
      </c>
      <c r="O311" s="4" t="s">
        <v>50</v>
      </c>
      <c r="P311" s="4" t="s">
        <v>870</v>
      </c>
      <c r="Q311" s="5">
        <v>3</v>
      </c>
    </row>
    <row r="312" spans="1:17" ht="15.75" customHeight="1" x14ac:dyDescent="0.2">
      <c r="A312" s="6" t="s">
        <v>829</v>
      </c>
      <c r="B312" s="6" t="s">
        <v>33</v>
      </c>
      <c r="C312" s="6" t="s">
        <v>873</v>
      </c>
      <c r="D312" s="2" t="s">
        <v>844</v>
      </c>
      <c r="E312" s="7"/>
      <c r="F312" s="7"/>
      <c r="G312" s="6">
        <v>5</v>
      </c>
      <c r="H312" s="6"/>
      <c r="I312" s="7"/>
      <c r="J312" s="7"/>
      <c r="K312" s="6">
        <v>4</v>
      </c>
      <c r="L312" s="6" t="s">
        <v>845</v>
      </c>
      <c r="M312" s="4" t="s">
        <v>853</v>
      </c>
      <c r="N312" s="4" t="s">
        <v>878</v>
      </c>
      <c r="O312" s="4" t="s">
        <v>865</v>
      </c>
      <c r="P312" s="4" t="s">
        <v>86</v>
      </c>
      <c r="Q312" s="5">
        <v>5</v>
      </c>
    </row>
    <row r="313" spans="1:17" ht="15.75" customHeight="1" x14ac:dyDescent="0.2">
      <c r="A313" s="6" t="s">
        <v>829</v>
      </c>
      <c r="B313" s="6" t="s">
        <v>39</v>
      </c>
      <c r="C313" s="6" t="s">
        <v>866</v>
      </c>
      <c r="D313" s="2" t="s">
        <v>846</v>
      </c>
      <c r="E313" s="7">
        <v>3</v>
      </c>
      <c r="F313" s="7" t="s">
        <v>826</v>
      </c>
      <c r="G313" s="6"/>
      <c r="H313" s="6"/>
      <c r="I313" s="16">
        <v>1</v>
      </c>
      <c r="J313" s="7" t="s">
        <v>847</v>
      </c>
      <c r="K313" s="6"/>
      <c r="L313" s="6"/>
      <c r="M313" s="4" t="s">
        <v>848</v>
      </c>
      <c r="N313" s="4" t="s">
        <v>858</v>
      </c>
      <c r="O313" s="4" t="s">
        <v>865</v>
      </c>
      <c r="P313" s="4" t="s">
        <v>870</v>
      </c>
      <c r="Q313" s="5">
        <v>1</v>
      </c>
    </row>
    <row r="314" spans="1:17" ht="15.75" customHeight="1" x14ac:dyDescent="0.2">
      <c r="E314" s="11"/>
      <c r="F314" s="11"/>
      <c r="G314" s="11"/>
      <c r="H314" s="11"/>
      <c r="I314" s="7"/>
      <c r="J314" s="7"/>
      <c r="K314" s="11"/>
      <c r="L314" s="11"/>
      <c r="M314" s="8"/>
      <c r="N314" s="8"/>
      <c r="O314" s="8"/>
      <c r="P314" s="8"/>
      <c r="Q314" s="9"/>
    </row>
    <row r="315" spans="1:17" ht="15.75" customHeight="1" x14ac:dyDescent="0.2">
      <c r="E315" s="11"/>
      <c r="F315" s="11"/>
      <c r="G315" s="11"/>
      <c r="H315" s="11"/>
      <c r="I315" s="7"/>
      <c r="J315" s="7"/>
      <c r="K315" s="11"/>
      <c r="L315" s="11"/>
      <c r="M315" s="12"/>
      <c r="N315" s="12"/>
      <c r="O315" s="12"/>
      <c r="P315" s="12"/>
      <c r="Q315" s="13"/>
    </row>
    <row r="316" spans="1:17" ht="15.75" customHeight="1" x14ac:dyDescent="0.2">
      <c r="E316" s="11"/>
      <c r="F316" s="11"/>
      <c r="G316" s="11"/>
      <c r="H316" s="11"/>
      <c r="I316" s="7"/>
      <c r="J316" s="7"/>
      <c r="K316" s="11"/>
      <c r="L316" s="11"/>
      <c r="M316" s="12"/>
      <c r="N316" s="12"/>
      <c r="O316" s="12"/>
      <c r="P316" s="12"/>
      <c r="Q316" s="13"/>
    </row>
    <row r="317" spans="1:17" ht="15.75" customHeight="1" x14ac:dyDescent="0.2">
      <c r="E317" s="11"/>
      <c r="F317" s="11"/>
      <c r="G317" s="11"/>
      <c r="H317" s="11"/>
      <c r="I317" s="7"/>
      <c r="J317" s="7"/>
      <c r="K317" s="11"/>
      <c r="L317" s="11"/>
      <c r="M317" s="12"/>
      <c r="N317" s="12"/>
      <c r="O317" s="12"/>
      <c r="P317" s="12"/>
      <c r="Q317" s="13"/>
    </row>
    <row r="318" spans="1:17" ht="15.75" customHeight="1" x14ac:dyDescent="0.2">
      <c r="E318" s="11"/>
      <c r="F318" s="11"/>
      <c r="G318" s="11"/>
      <c r="H318" s="11"/>
      <c r="I318" s="7"/>
      <c r="J318" s="7"/>
      <c r="K318" s="11"/>
      <c r="L318" s="11"/>
      <c r="M318" s="12"/>
      <c r="N318" s="12"/>
      <c r="O318" s="12"/>
      <c r="P318" s="12"/>
      <c r="Q318" s="13"/>
    </row>
    <row r="319" spans="1:17" ht="15.75" customHeight="1" x14ac:dyDescent="0.2">
      <c r="E319" s="11"/>
      <c r="F319" s="11"/>
      <c r="G319" s="11"/>
      <c r="H319" s="11"/>
      <c r="I319" s="7"/>
      <c r="J319" s="7"/>
      <c r="K319" s="11"/>
      <c r="L319" s="11"/>
      <c r="M319" s="12"/>
      <c r="N319" s="12"/>
      <c r="O319" s="12"/>
      <c r="P319" s="12"/>
      <c r="Q319" s="13"/>
    </row>
    <row r="320" spans="1:17" ht="15.75" customHeight="1" x14ac:dyDescent="0.2">
      <c r="E320" s="11"/>
      <c r="F320" s="11"/>
      <c r="G320" s="11"/>
      <c r="H320" s="11"/>
      <c r="I320" s="7"/>
      <c r="J320" s="7"/>
      <c r="K320" s="11"/>
      <c r="L320" s="11"/>
      <c r="M320" s="12"/>
      <c r="N320" s="12"/>
      <c r="O320" s="12"/>
      <c r="P320" s="12"/>
      <c r="Q320" s="13"/>
    </row>
    <row r="321" spans="5:17" ht="15.75" customHeight="1" x14ac:dyDescent="0.2">
      <c r="E321" s="11"/>
      <c r="F321" s="11"/>
      <c r="G321" s="11"/>
      <c r="H321" s="11"/>
      <c r="I321" s="7"/>
      <c r="J321" s="7"/>
      <c r="K321" s="11"/>
      <c r="L321" s="11"/>
      <c r="M321" s="12"/>
      <c r="N321" s="12"/>
      <c r="O321" s="12"/>
      <c r="P321" s="12"/>
      <c r="Q321" s="13"/>
    </row>
    <row r="322" spans="5:17" ht="15.75" customHeight="1" x14ac:dyDescent="0.2">
      <c r="E322" s="11"/>
      <c r="F322" s="11"/>
      <c r="G322" s="11"/>
      <c r="H322" s="11"/>
      <c r="I322" s="7"/>
      <c r="J322" s="7"/>
      <c r="K322" s="11"/>
      <c r="L322" s="11"/>
      <c r="M322" s="12"/>
      <c r="N322" s="12"/>
      <c r="O322" s="12"/>
      <c r="P322" s="12"/>
      <c r="Q322" s="13"/>
    </row>
    <row r="323" spans="5:17" ht="15.75" customHeight="1" x14ac:dyDescent="0.2">
      <c r="E323" s="11"/>
      <c r="F323" s="11"/>
      <c r="G323" s="11"/>
      <c r="H323" s="11"/>
      <c r="I323" s="7"/>
      <c r="J323" s="7"/>
      <c r="K323" s="11"/>
      <c r="L323" s="11"/>
      <c r="M323" s="12"/>
      <c r="N323" s="12"/>
      <c r="O323" s="12"/>
      <c r="P323" s="12"/>
      <c r="Q323" s="13"/>
    </row>
    <row r="324" spans="5:17" ht="15.75" customHeight="1" x14ac:dyDescent="0.2">
      <c r="E324" s="11"/>
      <c r="F324" s="11"/>
      <c r="G324" s="11"/>
      <c r="H324" s="11"/>
      <c r="I324" s="7"/>
      <c r="J324" s="7"/>
      <c r="K324" s="11"/>
      <c r="L324" s="11"/>
      <c r="M324" s="12"/>
      <c r="N324" s="12"/>
      <c r="O324" s="12"/>
      <c r="P324" s="12"/>
      <c r="Q324" s="13"/>
    </row>
    <row r="325" spans="5:17" ht="15.75" customHeight="1" x14ac:dyDescent="0.2">
      <c r="E325" s="11"/>
      <c r="F325" s="11"/>
      <c r="G325" s="11"/>
      <c r="H325" s="11"/>
      <c r="I325" s="7"/>
      <c r="J325" s="7"/>
      <c r="K325" s="11"/>
      <c r="L325" s="11"/>
      <c r="M325" s="12"/>
      <c r="N325" s="12"/>
      <c r="O325" s="12"/>
      <c r="P325" s="12"/>
      <c r="Q325" s="13"/>
    </row>
    <row r="326" spans="5:17" ht="15.75" customHeight="1" x14ac:dyDescent="0.2">
      <c r="E326" s="11"/>
      <c r="F326" s="11"/>
      <c r="G326" s="11"/>
      <c r="H326" s="11"/>
      <c r="I326" s="7"/>
      <c r="J326" s="7"/>
      <c r="K326" s="11"/>
      <c r="L326" s="11"/>
      <c r="M326" s="12"/>
      <c r="N326" s="12"/>
      <c r="O326" s="12"/>
      <c r="P326" s="12"/>
      <c r="Q326" s="13"/>
    </row>
    <row r="327" spans="5:17" ht="15.75" customHeight="1" x14ac:dyDescent="0.2">
      <c r="E327" s="11"/>
      <c r="F327" s="11"/>
      <c r="G327" s="11"/>
      <c r="H327" s="11"/>
      <c r="I327" s="7"/>
      <c r="J327" s="7"/>
      <c r="K327" s="11"/>
      <c r="L327" s="11"/>
      <c r="M327" s="12"/>
      <c r="N327" s="12"/>
      <c r="O327" s="12"/>
      <c r="P327" s="12"/>
      <c r="Q327" s="13"/>
    </row>
    <row r="328" spans="5:17" ht="15.75" customHeight="1" x14ac:dyDescent="0.2">
      <c r="E328" s="11"/>
      <c r="F328" s="11"/>
      <c r="G328" s="11"/>
      <c r="H328" s="11"/>
      <c r="I328" s="7"/>
      <c r="J328" s="7"/>
      <c r="K328" s="11"/>
      <c r="L328" s="11"/>
      <c r="M328" s="12"/>
      <c r="N328" s="12"/>
      <c r="O328" s="12"/>
      <c r="P328" s="12"/>
      <c r="Q328" s="13"/>
    </row>
    <row r="329" spans="5:17" ht="15.75" customHeight="1" x14ac:dyDescent="0.2">
      <c r="E329" s="11"/>
      <c r="F329" s="11"/>
      <c r="G329" s="11"/>
      <c r="H329" s="11"/>
      <c r="I329" s="7"/>
      <c r="J329" s="7"/>
      <c r="K329" s="11"/>
      <c r="L329" s="11"/>
      <c r="M329" s="12"/>
      <c r="N329" s="12"/>
      <c r="O329" s="12"/>
      <c r="P329" s="12"/>
      <c r="Q329" s="13"/>
    </row>
    <row r="330" spans="5:17" ht="15.75" customHeight="1" x14ac:dyDescent="0.2">
      <c r="E330" s="11"/>
      <c r="F330" s="11"/>
      <c r="G330" s="11"/>
      <c r="H330" s="11"/>
      <c r="I330" s="7"/>
      <c r="J330" s="7"/>
      <c r="K330" s="11"/>
      <c r="L330" s="11"/>
      <c r="M330" s="12"/>
      <c r="N330" s="12"/>
      <c r="O330" s="12"/>
      <c r="P330" s="12"/>
      <c r="Q330" s="13"/>
    </row>
    <row r="331" spans="5:17" ht="15.75" customHeight="1" x14ac:dyDescent="0.2">
      <c r="E331" s="11"/>
      <c r="F331" s="11"/>
      <c r="G331" s="11"/>
      <c r="H331" s="11"/>
      <c r="I331" s="7"/>
      <c r="J331" s="7"/>
      <c r="K331" s="11"/>
      <c r="L331" s="11"/>
      <c r="M331" s="12"/>
      <c r="N331" s="12"/>
      <c r="O331" s="12"/>
      <c r="P331" s="12"/>
      <c r="Q331" s="13"/>
    </row>
    <row r="332" spans="5:17" ht="15.75" customHeight="1" x14ac:dyDescent="0.2">
      <c r="E332" s="11"/>
      <c r="F332" s="11"/>
      <c r="G332" s="11"/>
      <c r="H332" s="11"/>
      <c r="I332" s="7"/>
      <c r="J332" s="7"/>
      <c r="K332" s="11"/>
      <c r="L332" s="11"/>
      <c r="M332" s="12"/>
      <c r="N332" s="12"/>
      <c r="O332" s="12"/>
      <c r="P332" s="12"/>
      <c r="Q332" s="13"/>
    </row>
    <row r="333" spans="5:17" ht="15.75" customHeight="1" x14ac:dyDescent="0.2">
      <c r="E333" s="11"/>
      <c r="F333" s="11"/>
      <c r="G333" s="11"/>
      <c r="H333" s="11"/>
      <c r="I333" s="7"/>
      <c r="J333" s="7"/>
      <c r="K333" s="11"/>
      <c r="L333" s="11"/>
      <c r="M333" s="12"/>
      <c r="N333" s="12"/>
      <c r="O333" s="12"/>
      <c r="P333" s="12"/>
      <c r="Q333" s="13"/>
    </row>
    <row r="334" spans="5:17" ht="15.75" customHeight="1" x14ac:dyDescent="0.2">
      <c r="E334" s="11"/>
      <c r="F334" s="11"/>
      <c r="G334" s="11"/>
      <c r="H334" s="11"/>
      <c r="I334" s="7"/>
      <c r="J334" s="7"/>
      <c r="K334" s="11"/>
      <c r="L334" s="11"/>
      <c r="M334" s="12"/>
      <c r="N334" s="12"/>
      <c r="O334" s="12"/>
      <c r="P334" s="12"/>
      <c r="Q334" s="13"/>
    </row>
    <row r="335" spans="5:17" ht="15.75" customHeight="1" x14ac:dyDescent="0.2">
      <c r="E335" s="11"/>
      <c r="F335" s="11"/>
      <c r="G335" s="11"/>
      <c r="H335" s="11"/>
      <c r="I335" s="7"/>
      <c r="J335" s="7"/>
      <c r="K335" s="11"/>
      <c r="L335" s="11"/>
      <c r="M335" s="12"/>
      <c r="N335" s="12"/>
      <c r="O335" s="12"/>
      <c r="P335" s="12"/>
      <c r="Q335" s="13"/>
    </row>
    <row r="336" spans="5:17" ht="15.75" customHeight="1" x14ac:dyDescent="0.2">
      <c r="E336" s="11"/>
      <c r="F336" s="11"/>
      <c r="G336" s="11"/>
      <c r="H336" s="11"/>
      <c r="I336" s="7"/>
      <c r="J336" s="7"/>
      <c r="K336" s="11"/>
      <c r="L336" s="11"/>
      <c r="M336" s="12"/>
      <c r="N336" s="12"/>
      <c r="O336" s="12"/>
      <c r="P336" s="12"/>
      <c r="Q336" s="13"/>
    </row>
    <row r="337" spans="5:17" ht="15.75" customHeight="1" x14ac:dyDescent="0.2">
      <c r="E337" s="11"/>
      <c r="F337" s="11"/>
      <c r="G337" s="11"/>
      <c r="H337" s="11"/>
      <c r="I337" s="7"/>
      <c r="J337" s="7"/>
      <c r="K337" s="11"/>
      <c r="L337" s="11"/>
      <c r="M337" s="12"/>
      <c r="N337" s="12"/>
      <c r="O337" s="12"/>
      <c r="P337" s="12"/>
      <c r="Q337" s="13"/>
    </row>
    <row r="338" spans="5:17" ht="15.75" customHeight="1" x14ac:dyDescent="0.2">
      <c r="E338" s="11"/>
      <c r="F338" s="11"/>
      <c r="G338" s="11"/>
      <c r="H338" s="11"/>
      <c r="I338" s="7"/>
      <c r="J338" s="7"/>
      <c r="K338" s="11"/>
      <c r="L338" s="11"/>
      <c r="M338" s="12"/>
      <c r="N338" s="12"/>
      <c r="O338" s="12"/>
      <c r="P338" s="12"/>
      <c r="Q338" s="13"/>
    </row>
    <row r="339" spans="5:17" ht="15.75" customHeight="1" x14ac:dyDescent="0.2">
      <c r="E339" s="11"/>
      <c r="F339" s="11"/>
      <c r="G339" s="11"/>
      <c r="H339" s="11"/>
      <c r="I339" s="7"/>
      <c r="J339" s="7"/>
      <c r="K339" s="11"/>
      <c r="L339" s="11"/>
      <c r="M339" s="12"/>
      <c r="N339" s="12"/>
      <c r="O339" s="12"/>
      <c r="P339" s="12"/>
      <c r="Q339" s="13"/>
    </row>
    <row r="340" spans="5:17" ht="15.75" customHeight="1" x14ac:dyDescent="0.2">
      <c r="E340" s="11"/>
      <c r="F340" s="11"/>
      <c r="G340" s="11"/>
      <c r="H340" s="11"/>
      <c r="I340" s="7"/>
      <c r="J340" s="7"/>
      <c r="K340" s="11"/>
      <c r="L340" s="11"/>
      <c r="M340" s="12"/>
      <c r="N340" s="12"/>
      <c r="O340" s="12"/>
      <c r="P340" s="12"/>
      <c r="Q340" s="13"/>
    </row>
    <row r="341" spans="5:17" ht="15.75" customHeight="1" x14ac:dyDescent="0.2">
      <c r="E341" s="11"/>
      <c r="F341" s="11"/>
      <c r="G341" s="11"/>
      <c r="H341" s="11"/>
      <c r="I341" s="7"/>
      <c r="J341" s="7"/>
      <c r="K341" s="11"/>
      <c r="L341" s="11"/>
      <c r="M341" s="12"/>
      <c r="N341" s="12"/>
      <c r="O341" s="12"/>
      <c r="P341" s="12"/>
      <c r="Q341" s="13"/>
    </row>
    <row r="342" spans="5:17" ht="15.75" customHeight="1" x14ac:dyDescent="0.2">
      <c r="E342" s="11"/>
      <c r="F342" s="11"/>
      <c r="G342" s="11"/>
      <c r="H342" s="11"/>
      <c r="I342" s="7"/>
      <c r="J342" s="7"/>
      <c r="K342" s="11"/>
      <c r="L342" s="11"/>
      <c r="M342" s="12"/>
      <c r="N342" s="12"/>
      <c r="O342" s="12"/>
      <c r="P342" s="12"/>
      <c r="Q342" s="13"/>
    </row>
    <row r="343" spans="5:17" ht="15.75" customHeight="1" x14ac:dyDescent="0.2">
      <c r="E343" s="11"/>
      <c r="F343" s="11"/>
      <c r="G343" s="11"/>
      <c r="H343" s="11"/>
      <c r="I343" s="7"/>
      <c r="J343" s="7"/>
      <c r="K343" s="11"/>
      <c r="L343" s="11"/>
      <c r="M343" s="12"/>
      <c r="N343" s="12"/>
      <c r="O343" s="12"/>
      <c r="P343" s="12"/>
      <c r="Q343" s="13"/>
    </row>
    <row r="344" spans="5:17" ht="15.75" customHeight="1" x14ac:dyDescent="0.2">
      <c r="E344" s="11"/>
      <c r="F344" s="11"/>
      <c r="G344" s="11"/>
      <c r="H344" s="11"/>
      <c r="I344" s="7"/>
      <c r="J344" s="7"/>
      <c r="K344" s="11"/>
      <c r="L344" s="11"/>
      <c r="M344" s="12"/>
      <c r="N344" s="12"/>
      <c r="O344" s="12"/>
      <c r="P344" s="12"/>
      <c r="Q344" s="13"/>
    </row>
    <row r="345" spans="5:17" ht="15.75" customHeight="1" x14ac:dyDescent="0.2">
      <c r="E345" s="11"/>
      <c r="F345" s="11"/>
      <c r="G345" s="11"/>
      <c r="H345" s="11"/>
      <c r="I345" s="7"/>
      <c r="J345" s="7"/>
      <c r="K345" s="11"/>
      <c r="L345" s="11"/>
      <c r="M345" s="12"/>
      <c r="N345" s="12"/>
      <c r="O345" s="12"/>
      <c r="P345" s="12"/>
      <c r="Q345" s="13"/>
    </row>
    <row r="346" spans="5:17" ht="15.75" customHeight="1" x14ac:dyDescent="0.2">
      <c r="E346" s="11"/>
      <c r="F346" s="11"/>
      <c r="G346" s="11"/>
      <c r="H346" s="11"/>
      <c r="I346" s="7"/>
      <c r="J346" s="7"/>
      <c r="K346" s="11"/>
      <c r="L346" s="11"/>
      <c r="M346" s="12"/>
      <c r="N346" s="12"/>
      <c r="O346" s="12"/>
      <c r="P346" s="12"/>
      <c r="Q346" s="13"/>
    </row>
    <row r="347" spans="5:17" ht="15.75" customHeight="1" x14ac:dyDescent="0.2">
      <c r="E347" s="11"/>
      <c r="F347" s="11"/>
      <c r="G347" s="11"/>
      <c r="H347" s="11"/>
      <c r="I347" s="7"/>
      <c r="J347" s="7"/>
      <c r="K347" s="11"/>
      <c r="L347" s="11"/>
      <c r="M347" s="12"/>
      <c r="N347" s="12"/>
      <c r="O347" s="12"/>
      <c r="P347" s="12"/>
      <c r="Q347" s="13"/>
    </row>
    <row r="348" spans="5:17" ht="15.75" customHeight="1" x14ac:dyDescent="0.2">
      <c r="E348" s="11"/>
      <c r="F348" s="11"/>
      <c r="G348" s="11"/>
      <c r="H348" s="11"/>
      <c r="I348" s="7"/>
      <c r="J348" s="7"/>
      <c r="K348" s="11"/>
      <c r="L348" s="11"/>
      <c r="M348" s="12"/>
      <c r="N348" s="12"/>
      <c r="O348" s="12"/>
      <c r="P348" s="12"/>
      <c r="Q348" s="13"/>
    </row>
    <row r="349" spans="5:17" ht="15.75" customHeight="1" x14ac:dyDescent="0.2">
      <c r="E349" s="11"/>
      <c r="F349" s="11"/>
      <c r="G349" s="11"/>
      <c r="H349" s="11"/>
      <c r="I349" s="7"/>
      <c r="J349" s="7"/>
      <c r="K349" s="11"/>
      <c r="L349" s="11"/>
      <c r="M349" s="12"/>
      <c r="N349" s="12"/>
      <c r="O349" s="12"/>
      <c r="P349" s="12"/>
      <c r="Q349" s="13"/>
    </row>
    <row r="350" spans="5:17" ht="15.75" customHeight="1" x14ac:dyDescent="0.2">
      <c r="E350" s="11"/>
      <c r="F350" s="11"/>
      <c r="G350" s="11"/>
      <c r="H350" s="11"/>
      <c r="I350" s="7"/>
      <c r="J350" s="7"/>
      <c r="K350" s="11"/>
      <c r="L350" s="11"/>
      <c r="M350" s="12"/>
      <c r="N350" s="12"/>
      <c r="O350" s="12"/>
      <c r="P350" s="12"/>
      <c r="Q350" s="13"/>
    </row>
    <row r="351" spans="5:17" ht="15.75" customHeight="1" x14ac:dyDescent="0.2">
      <c r="E351" s="11"/>
      <c r="F351" s="11"/>
      <c r="G351" s="11"/>
      <c r="H351" s="11"/>
      <c r="I351" s="7"/>
      <c r="J351" s="7"/>
      <c r="K351" s="11"/>
      <c r="L351" s="11"/>
      <c r="M351" s="12"/>
      <c r="N351" s="12"/>
      <c r="O351" s="12"/>
      <c r="P351" s="12"/>
      <c r="Q351" s="13"/>
    </row>
    <row r="352" spans="5:17" ht="15.75" customHeight="1" x14ac:dyDescent="0.2">
      <c r="E352" s="11"/>
      <c r="F352" s="11"/>
      <c r="G352" s="11"/>
      <c r="H352" s="11"/>
      <c r="I352" s="7"/>
      <c r="J352" s="7"/>
      <c r="K352" s="11"/>
      <c r="L352" s="11"/>
      <c r="M352" s="12"/>
      <c r="N352" s="12"/>
      <c r="O352" s="12"/>
      <c r="P352" s="12"/>
      <c r="Q352" s="13"/>
    </row>
    <row r="353" spans="5:17" ht="15.75" customHeight="1" x14ac:dyDescent="0.2">
      <c r="E353" s="11"/>
      <c r="F353" s="11"/>
      <c r="G353" s="11"/>
      <c r="H353" s="11"/>
      <c r="I353" s="7"/>
      <c r="J353" s="7"/>
      <c r="K353" s="11"/>
      <c r="L353" s="11"/>
      <c r="M353" s="12"/>
      <c r="N353" s="12"/>
      <c r="O353" s="12"/>
      <c r="P353" s="12"/>
      <c r="Q353" s="13"/>
    </row>
    <row r="354" spans="5:17" ht="15.75" customHeight="1" x14ac:dyDescent="0.2">
      <c r="E354" s="11"/>
      <c r="F354" s="11"/>
      <c r="G354" s="11"/>
      <c r="H354" s="11"/>
      <c r="I354" s="7"/>
      <c r="J354" s="7"/>
      <c r="K354" s="11"/>
      <c r="L354" s="11"/>
      <c r="M354" s="12"/>
      <c r="N354" s="12"/>
      <c r="O354" s="12"/>
      <c r="P354" s="12"/>
      <c r="Q354" s="13"/>
    </row>
    <row r="355" spans="5:17" ht="15.75" customHeight="1" x14ac:dyDescent="0.2">
      <c r="E355" s="11"/>
      <c r="F355" s="11"/>
      <c r="G355" s="11"/>
      <c r="H355" s="11"/>
      <c r="I355" s="7"/>
      <c r="J355" s="7"/>
      <c r="K355" s="11"/>
      <c r="L355" s="11"/>
      <c r="M355" s="12"/>
      <c r="N355" s="12"/>
      <c r="O355" s="12"/>
      <c r="P355" s="12"/>
      <c r="Q355" s="13"/>
    </row>
    <row r="356" spans="5:17" ht="15.75" customHeight="1" x14ac:dyDescent="0.2">
      <c r="E356" s="11"/>
      <c r="F356" s="11"/>
      <c r="G356" s="11"/>
      <c r="H356" s="11"/>
      <c r="I356" s="7"/>
      <c r="J356" s="7"/>
      <c r="K356" s="11"/>
      <c r="L356" s="11"/>
      <c r="M356" s="12"/>
      <c r="N356" s="12"/>
      <c r="O356" s="12"/>
      <c r="P356" s="12"/>
      <c r="Q356" s="13"/>
    </row>
    <row r="357" spans="5:17" ht="15.75" customHeight="1" x14ac:dyDescent="0.2">
      <c r="E357" s="11"/>
      <c r="F357" s="11"/>
      <c r="G357" s="11"/>
      <c r="H357" s="11"/>
      <c r="I357" s="7"/>
      <c r="J357" s="7"/>
      <c r="K357" s="11"/>
      <c r="L357" s="11"/>
      <c r="M357" s="12"/>
      <c r="N357" s="12"/>
      <c r="O357" s="12"/>
      <c r="P357" s="12"/>
      <c r="Q357" s="13"/>
    </row>
    <row r="358" spans="5:17" ht="15.75" customHeight="1" x14ac:dyDescent="0.2">
      <c r="E358" s="11"/>
      <c r="F358" s="11"/>
      <c r="G358" s="11"/>
      <c r="H358" s="11"/>
      <c r="I358" s="7"/>
      <c r="J358" s="7"/>
      <c r="K358" s="11"/>
      <c r="L358" s="11"/>
      <c r="M358" s="12"/>
      <c r="N358" s="12"/>
      <c r="O358" s="12"/>
      <c r="P358" s="12"/>
      <c r="Q358" s="13"/>
    </row>
    <row r="359" spans="5:17" ht="15.75" customHeight="1" x14ac:dyDescent="0.2">
      <c r="E359" s="11"/>
      <c r="F359" s="11"/>
      <c r="G359" s="11"/>
      <c r="H359" s="11"/>
      <c r="I359" s="7"/>
      <c r="J359" s="7"/>
      <c r="K359" s="11"/>
      <c r="L359" s="11"/>
      <c r="M359" s="12"/>
      <c r="N359" s="12"/>
      <c r="O359" s="12"/>
      <c r="P359" s="12"/>
      <c r="Q359" s="13"/>
    </row>
    <row r="360" spans="5:17" ht="15.75" customHeight="1" x14ac:dyDescent="0.2">
      <c r="E360" s="11"/>
      <c r="F360" s="11"/>
      <c r="G360" s="11"/>
      <c r="H360" s="11"/>
      <c r="I360" s="7"/>
      <c r="J360" s="7"/>
      <c r="K360" s="11"/>
      <c r="L360" s="11"/>
      <c r="M360" s="12"/>
      <c r="N360" s="12"/>
      <c r="O360" s="12"/>
      <c r="P360" s="12"/>
      <c r="Q360" s="13"/>
    </row>
    <row r="361" spans="5:17" ht="15.75" customHeight="1" x14ac:dyDescent="0.2">
      <c r="E361" s="11"/>
      <c r="F361" s="11"/>
      <c r="G361" s="11"/>
      <c r="H361" s="11"/>
      <c r="I361" s="7"/>
      <c r="J361" s="7"/>
      <c r="K361" s="11"/>
      <c r="L361" s="11"/>
      <c r="M361" s="12"/>
      <c r="N361" s="12"/>
      <c r="O361" s="12"/>
      <c r="P361" s="12"/>
      <c r="Q361" s="13"/>
    </row>
    <row r="362" spans="5:17" ht="15.75" customHeight="1" x14ac:dyDescent="0.2">
      <c r="E362" s="11"/>
      <c r="F362" s="11"/>
      <c r="G362" s="11"/>
      <c r="H362" s="11"/>
      <c r="I362" s="7"/>
      <c r="J362" s="7"/>
      <c r="K362" s="11"/>
      <c r="L362" s="11"/>
      <c r="M362" s="12"/>
      <c r="N362" s="12"/>
      <c r="O362" s="12"/>
      <c r="P362" s="12"/>
      <c r="Q362" s="13"/>
    </row>
    <row r="363" spans="5:17" ht="15.75" customHeight="1" x14ac:dyDescent="0.2">
      <c r="E363" s="11"/>
      <c r="F363" s="11"/>
      <c r="G363" s="11"/>
      <c r="H363" s="11"/>
      <c r="I363" s="7"/>
      <c r="J363" s="7"/>
      <c r="K363" s="11"/>
      <c r="L363" s="11"/>
      <c r="M363" s="12"/>
      <c r="N363" s="12"/>
      <c r="O363" s="12"/>
      <c r="P363" s="12"/>
      <c r="Q363" s="13"/>
    </row>
    <row r="364" spans="5:17" ht="15.75" customHeight="1" x14ac:dyDescent="0.2">
      <c r="E364" s="11"/>
      <c r="F364" s="11"/>
      <c r="G364" s="11"/>
      <c r="H364" s="11"/>
      <c r="I364" s="7"/>
      <c r="J364" s="7"/>
      <c r="K364" s="11"/>
      <c r="L364" s="11"/>
      <c r="M364" s="12"/>
      <c r="N364" s="12"/>
      <c r="O364" s="12"/>
      <c r="P364" s="12"/>
      <c r="Q364" s="13"/>
    </row>
    <row r="365" spans="5:17" ht="15.75" customHeight="1" x14ac:dyDescent="0.2">
      <c r="E365" s="11"/>
      <c r="F365" s="11"/>
      <c r="G365" s="11"/>
      <c r="H365" s="11"/>
      <c r="I365" s="7"/>
      <c r="J365" s="7"/>
      <c r="K365" s="11"/>
      <c r="L365" s="11"/>
      <c r="M365" s="12"/>
      <c r="N365" s="12"/>
      <c r="O365" s="12"/>
      <c r="P365" s="12"/>
      <c r="Q365" s="13"/>
    </row>
    <row r="366" spans="5:17" ht="15.75" customHeight="1" x14ac:dyDescent="0.2">
      <c r="E366" s="11"/>
      <c r="F366" s="11"/>
      <c r="G366" s="11"/>
      <c r="H366" s="11"/>
      <c r="I366" s="7"/>
      <c r="J366" s="7"/>
      <c r="K366" s="11"/>
      <c r="L366" s="11"/>
      <c r="M366" s="12"/>
      <c r="N366" s="12"/>
      <c r="O366" s="12"/>
      <c r="P366" s="12"/>
      <c r="Q366" s="13"/>
    </row>
    <row r="367" spans="5:17" ht="15.75" customHeight="1" x14ac:dyDescent="0.2">
      <c r="E367" s="11"/>
      <c r="F367" s="11"/>
      <c r="G367" s="11"/>
      <c r="H367" s="11"/>
      <c r="I367" s="7"/>
      <c r="J367" s="7"/>
      <c r="K367" s="11"/>
      <c r="L367" s="11"/>
      <c r="M367" s="12"/>
      <c r="N367" s="12"/>
      <c r="O367" s="12"/>
      <c r="P367" s="12"/>
      <c r="Q367" s="13"/>
    </row>
    <row r="368" spans="5:17" ht="15.75" customHeight="1" x14ac:dyDescent="0.2">
      <c r="E368" s="11"/>
      <c r="F368" s="11"/>
      <c r="G368" s="11"/>
      <c r="H368" s="11"/>
      <c r="I368" s="7"/>
      <c r="J368" s="7"/>
      <c r="K368" s="11"/>
      <c r="L368" s="11"/>
      <c r="M368" s="12"/>
      <c r="N368" s="12"/>
      <c r="O368" s="12"/>
      <c r="P368" s="12"/>
      <c r="Q368" s="13"/>
    </row>
    <row r="369" spans="5:17" ht="15.75" customHeight="1" x14ac:dyDescent="0.2">
      <c r="E369" s="11"/>
      <c r="F369" s="11"/>
      <c r="G369" s="11"/>
      <c r="H369" s="11"/>
      <c r="I369" s="7"/>
      <c r="J369" s="7"/>
      <c r="K369" s="11"/>
      <c r="L369" s="11"/>
      <c r="M369" s="12"/>
      <c r="N369" s="12"/>
      <c r="O369" s="12"/>
      <c r="P369" s="12"/>
      <c r="Q369" s="13"/>
    </row>
    <row r="370" spans="5:17" ht="15.75" customHeight="1" x14ac:dyDescent="0.2">
      <c r="E370" s="11"/>
      <c r="F370" s="11"/>
      <c r="G370" s="11"/>
      <c r="H370" s="11"/>
      <c r="I370" s="7"/>
      <c r="J370" s="7"/>
      <c r="K370" s="11"/>
      <c r="L370" s="11"/>
      <c r="M370" s="12"/>
      <c r="N370" s="12"/>
      <c r="O370" s="12"/>
      <c r="P370" s="12"/>
      <c r="Q370" s="13"/>
    </row>
    <row r="371" spans="5:17" ht="15.75" customHeight="1" x14ac:dyDescent="0.2">
      <c r="E371" s="11"/>
      <c r="F371" s="11"/>
      <c r="G371" s="11"/>
      <c r="H371" s="11"/>
      <c r="I371" s="7"/>
      <c r="J371" s="7"/>
      <c r="K371" s="11"/>
      <c r="L371" s="11"/>
      <c r="M371" s="12"/>
      <c r="N371" s="12"/>
      <c r="O371" s="12"/>
      <c r="P371" s="12"/>
      <c r="Q371" s="13"/>
    </row>
    <row r="372" spans="5:17" ht="15.75" customHeight="1" x14ac:dyDescent="0.2">
      <c r="E372" s="11"/>
      <c r="F372" s="11"/>
      <c r="G372" s="11"/>
      <c r="H372" s="11"/>
      <c r="I372" s="7"/>
      <c r="J372" s="7"/>
      <c r="K372" s="11"/>
      <c r="L372" s="11"/>
      <c r="M372" s="12"/>
      <c r="N372" s="12"/>
      <c r="O372" s="12"/>
      <c r="P372" s="12"/>
      <c r="Q372" s="13"/>
    </row>
    <row r="373" spans="5:17" ht="15.75" customHeight="1" x14ac:dyDescent="0.2">
      <c r="E373" s="11"/>
      <c r="F373" s="11"/>
      <c r="G373" s="11"/>
      <c r="H373" s="11"/>
      <c r="I373" s="7"/>
      <c r="J373" s="7"/>
      <c r="K373" s="11"/>
      <c r="L373" s="11"/>
      <c r="M373" s="12"/>
      <c r="N373" s="12"/>
      <c r="O373" s="12"/>
      <c r="P373" s="12"/>
      <c r="Q373" s="13"/>
    </row>
    <row r="374" spans="5:17" ht="15.75" customHeight="1" x14ac:dyDescent="0.2">
      <c r="E374" s="11"/>
      <c r="F374" s="11"/>
      <c r="G374" s="11"/>
      <c r="H374" s="11"/>
      <c r="I374" s="7"/>
      <c r="J374" s="7"/>
      <c r="K374" s="11"/>
      <c r="L374" s="11"/>
      <c r="M374" s="12"/>
      <c r="N374" s="12"/>
      <c r="O374" s="12"/>
      <c r="P374" s="12"/>
      <c r="Q374" s="13"/>
    </row>
    <row r="375" spans="5:17" ht="15.75" customHeight="1" x14ac:dyDescent="0.2">
      <c r="E375" s="11"/>
      <c r="F375" s="11"/>
      <c r="G375" s="11"/>
      <c r="H375" s="11"/>
      <c r="I375" s="7"/>
      <c r="J375" s="7"/>
      <c r="K375" s="11"/>
      <c r="L375" s="11"/>
      <c r="M375" s="12"/>
      <c r="N375" s="12"/>
      <c r="O375" s="12"/>
      <c r="P375" s="12"/>
      <c r="Q375" s="13"/>
    </row>
    <row r="376" spans="5:17" ht="15.75" customHeight="1" x14ac:dyDescent="0.2">
      <c r="E376" s="11"/>
      <c r="F376" s="11"/>
      <c r="G376" s="11"/>
      <c r="H376" s="11"/>
      <c r="I376" s="7"/>
      <c r="J376" s="7"/>
      <c r="K376" s="11"/>
      <c r="L376" s="11"/>
      <c r="M376" s="12"/>
      <c r="N376" s="12"/>
      <c r="O376" s="12"/>
      <c r="P376" s="12"/>
      <c r="Q376" s="13"/>
    </row>
    <row r="377" spans="5:17" ht="15.75" customHeight="1" x14ac:dyDescent="0.2">
      <c r="E377" s="11"/>
      <c r="F377" s="11"/>
      <c r="G377" s="11"/>
      <c r="H377" s="11"/>
      <c r="I377" s="7"/>
      <c r="J377" s="7"/>
      <c r="K377" s="11"/>
      <c r="L377" s="11"/>
      <c r="M377" s="12"/>
      <c r="N377" s="12"/>
      <c r="O377" s="12"/>
      <c r="P377" s="12"/>
      <c r="Q377" s="13"/>
    </row>
    <row r="378" spans="5:17" ht="15.75" customHeight="1" x14ac:dyDescent="0.2">
      <c r="E378" s="11"/>
      <c r="F378" s="11"/>
      <c r="G378" s="11"/>
      <c r="H378" s="11"/>
      <c r="I378" s="7"/>
      <c r="J378" s="7"/>
      <c r="K378" s="11"/>
      <c r="L378" s="11"/>
      <c r="M378" s="12"/>
      <c r="N378" s="12"/>
      <c r="O378" s="12"/>
      <c r="P378" s="12"/>
      <c r="Q378" s="13"/>
    </row>
    <row r="379" spans="5:17" ht="15.75" customHeight="1" x14ac:dyDescent="0.2">
      <c r="E379" s="11"/>
      <c r="F379" s="11"/>
      <c r="G379" s="11"/>
      <c r="H379" s="11"/>
      <c r="I379" s="7"/>
      <c r="J379" s="7"/>
      <c r="K379" s="11"/>
      <c r="L379" s="11"/>
      <c r="M379" s="12"/>
      <c r="N379" s="12"/>
      <c r="O379" s="12"/>
      <c r="P379" s="12"/>
      <c r="Q379" s="13"/>
    </row>
    <row r="380" spans="5:17" ht="15.75" customHeight="1" x14ac:dyDescent="0.2">
      <c r="E380" s="11"/>
      <c r="F380" s="11"/>
      <c r="G380" s="11"/>
      <c r="H380" s="11"/>
      <c r="I380" s="7"/>
      <c r="J380" s="7"/>
      <c r="K380" s="11"/>
      <c r="L380" s="11"/>
      <c r="M380" s="12"/>
      <c r="N380" s="12"/>
      <c r="O380" s="12"/>
      <c r="P380" s="12"/>
      <c r="Q380" s="13"/>
    </row>
    <row r="381" spans="5:17" ht="15.75" customHeight="1" x14ac:dyDescent="0.2">
      <c r="E381" s="11"/>
      <c r="F381" s="11"/>
      <c r="G381" s="11"/>
      <c r="H381" s="11"/>
      <c r="I381" s="7"/>
      <c r="J381" s="7"/>
      <c r="K381" s="11"/>
      <c r="L381" s="11"/>
      <c r="M381" s="12"/>
      <c r="N381" s="12"/>
      <c r="O381" s="12"/>
      <c r="P381" s="12"/>
      <c r="Q381" s="13"/>
    </row>
    <row r="382" spans="5:17" ht="15.75" customHeight="1" x14ac:dyDescent="0.2">
      <c r="E382" s="11"/>
      <c r="F382" s="11"/>
      <c r="G382" s="11"/>
      <c r="H382" s="11"/>
      <c r="I382" s="7"/>
      <c r="J382" s="7"/>
      <c r="K382" s="11"/>
      <c r="L382" s="11"/>
      <c r="M382" s="12"/>
      <c r="N382" s="12"/>
      <c r="O382" s="12"/>
      <c r="P382" s="12"/>
      <c r="Q382" s="13"/>
    </row>
    <row r="383" spans="5:17" ht="15.75" customHeight="1" x14ac:dyDescent="0.2">
      <c r="E383" s="11"/>
      <c r="F383" s="11"/>
      <c r="G383" s="11"/>
      <c r="H383" s="11"/>
      <c r="I383" s="7"/>
      <c r="J383" s="7"/>
      <c r="K383" s="11"/>
      <c r="L383" s="11"/>
      <c r="M383" s="12"/>
      <c r="N383" s="12"/>
      <c r="O383" s="12"/>
      <c r="P383" s="12"/>
      <c r="Q383" s="13"/>
    </row>
    <row r="384" spans="5:17" ht="15.75" customHeight="1" x14ac:dyDescent="0.2">
      <c r="E384" s="11"/>
      <c r="F384" s="11"/>
      <c r="G384" s="11"/>
      <c r="H384" s="11"/>
      <c r="I384" s="7"/>
      <c r="J384" s="7"/>
      <c r="K384" s="11"/>
      <c r="L384" s="11"/>
      <c r="M384" s="12"/>
      <c r="N384" s="12"/>
      <c r="O384" s="12"/>
      <c r="P384" s="12"/>
      <c r="Q384" s="13"/>
    </row>
    <row r="385" spans="5:17" ht="15.75" customHeight="1" x14ac:dyDescent="0.2">
      <c r="E385" s="11"/>
      <c r="F385" s="11"/>
      <c r="G385" s="11"/>
      <c r="H385" s="11"/>
      <c r="I385" s="7"/>
      <c r="J385" s="7"/>
      <c r="K385" s="11"/>
      <c r="L385" s="11"/>
      <c r="M385" s="12"/>
      <c r="N385" s="12"/>
      <c r="O385" s="12"/>
      <c r="P385" s="12"/>
      <c r="Q385" s="13"/>
    </row>
    <row r="386" spans="5:17" ht="15.75" customHeight="1" x14ac:dyDescent="0.2">
      <c r="E386" s="11"/>
      <c r="F386" s="11"/>
      <c r="G386" s="11"/>
      <c r="H386" s="11"/>
      <c r="I386" s="7"/>
      <c r="J386" s="7"/>
      <c r="K386" s="11"/>
      <c r="L386" s="11"/>
      <c r="M386" s="12"/>
      <c r="N386" s="12"/>
      <c r="O386" s="12"/>
      <c r="P386" s="12"/>
      <c r="Q386" s="13"/>
    </row>
    <row r="387" spans="5:17" ht="15.75" customHeight="1" x14ac:dyDescent="0.2">
      <c r="E387" s="11"/>
      <c r="F387" s="11"/>
      <c r="G387" s="11"/>
      <c r="H387" s="11"/>
      <c r="I387" s="7"/>
      <c r="J387" s="7"/>
      <c r="K387" s="11"/>
      <c r="L387" s="11"/>
      <c r="M387" s="12"/>
      <c r="N387" s="12"/>
      <c r="O387" s="12"/>
      <c r="P387" s="12"/>
      <c r="Q387" s="13"/>
    </row>
    <row r="388" spans="5:17" ht="15.75" customHeight="1" x14ac:dyDescent="0.2">
      <c r="E388" s="11"/>
      <c r="F388" s="11"/>
      <c r="G388" s="11"/>
      <c r="H388" s="11"/>
      <c r="I388" s="7"/>
      <c r="J388" s="7"/>
      <c r="K388" s="11"/>
      <c r="L388" s="11"/>
      <c r="M388" s="12"/>
      <c r="N388" s="12"/>
      <c r="O388" s="12"/>
      <c r="P388" s="12"/>
      <c r="Q388" s="13"/>
    </row>
    <row r="389" spans="5:17" ht="15.75" customHeight="1" x14ac:dyDescent="0.2">
      <c r="E389" s="11"/>
      <c r="F389" s="11"/>
      <c r="G389" s="11"/>
      <c r="H389" s="11"/>
      <c r="I389" s="7"/>
      <c r="J389" s="7"/>
      <c r="K389" s="11"/>
      <c r="L389" s="11"/>
      <c r="M389" s="12"/>
      <c r="N389" s="12"/>
      <c r="O389" s="12"/>
      <c r="P389" s="12"/>
      <c r="Q389" s="13"/>
    </row>
    <row r="390" spans="5:17" ht="15.75" customHeight="1" x14ac:dyDescent="0.2">
      <c r="E390" s="11"/>
      <c r="F390" s="11"/>
      <c r="G390" s="11"/>
      <c r="H390" s="11"/>
      <c r="I390" s="7"/>
      <c r="J390" s="7"/>
      <c r="K390" s="11"/>
      <c r="L390" s="11"/>
      <c r="M390" s="12"/>
      <c r="N390" s="12"/>
      <c r="O390" s="12"/>
      <c r="P390" s="12"/>
      <c r="Q390" s="13"/>
    </row>
    <row r="391" spans="5:17" ht="15.75" customHeight="1" x14ac:dyDescent="0.2">
      <c r="E391" s="11"/>
      <c r="F391" s="11"/>
      <c r="G391" s="11"/>
      <c r="H391" s="11"/>
      <c r="I391" s="7"/>
      <c r="J391" s="7"/>
      <c r="K391" s="11"/>
      <c r="L391" s="11"/>
      <c r="M391" s="12"/>
      <c r="N391" s="12"/>
      <c r="O391" s="12"/>
      <c r="P391" s="12"/>
      <c r="Q391" s="13"/>
    </row>
    <row r="392" spans="5:17" ht="15.75" customHeight="1" x14ac:dyDescent="0.2">
      <c r="E392" s="11"/>
      <c r="F392" s="11"/>
      <c r="G392" s="11"/>
      <c r="H392" s="11"/>
      <c r="I392" s="7"/>
      <c r="J392" s="7"/>
      <c r="K392" s="11"/>
      <c r="L392" s="11"/>
      <c r="M392" s="12"/>
      <c r="N392" s="12"/>
      <c r="O392" s="12"/>
      <c r="P392" s="12"/>
      <c r="Q392" s="13"/>
    </row>
    <row r="393" spans="5:17" ht="15.75" customHeight="1" x14ac:dyDescent="0.2">
      <c r="E393" s="11"/>
      <c r="F393" s="11"/>
      <c r="G393" s="11"/>
      <c r="H393" s="11"/>
      <c r="I393" s="7"/>
      <c r="J393" s="7"/>
      <c r="K393" s="11"/>
      <c r="L393" s="11"/>
      <c r="M393" s="12"/>
      <c r="N393" s="12"/>
      <c r="O393" s="12"/>
      <c r="P393" s="12"/>
      <c r="Q393" s="13"/>
    </row>
    <row r="394" spans="5:17" ht="15.75" customHeight="1" x14ac:dyDescent="0.2">
      <c r="E394" s="11"/>
      <c r="F394" s="11"/>
      <c r="G394" s="11"/>
      <c r="H394" s="11"/>
      <c r="I394" s="7"/>
      <c r="J394" s="7"/>
      <c r="K394" s="11"/>
      <c r="L394" s="11"/>
      <c r="M394" s="12"/>
      <c r="N394" s="12"/>
      <c r="O394" s="12"/>
      <c r="P394" s="12"/>
      <c r="Q394" s="13"/>
    </row>
    <row r="395" spans="5:17" ht="15.75" customHeight="1" x14ac:dyDescent="0.2">
      <c r="E395" s="11"/>
      <c r="F395" s="11"/>
      <c r="G395" s="11"/>
      <c r="H395" s="11"/>
      <c r="I395" s="7"/>
      <c r="J395" s="7"/>
      <c r="K395" s="11"/>
      <c r="L395" s="11"/>
      <c r="M395" s="12"/>
      <c r="N395" s="12"/>
      <c r="O395" s="12"/>
      <c r="P395" s="12"/>
      <c r="Q395" s="13"/>
    </row>
    <row r="396" spans="5:17" ht="15.75" customHeight="1" x14ac:dyDescent="0.2">
      <c r="E396" s="11"/>
      <c r="F396" s="11"/>
      <c r="G396" s="11"/>
      <c r="H396" s="11"/>
      <c r="I396" s="7"/>
      <c r="J396" s="7"/>
      <c r="K396" s="11"/>
      <c r="L396" s="11"/>
      <c r="M396" s="12"/>
      <c r="N396" s="12"/>
      <c r="O396" s="12"/>
      <c r="P396" s="12"/>
      <c r="Q396" s="13"/>
    </row>
    <row r="397" spans="5:17" ht="15.75" customHeight="1" x14ac:dyDescent="0.2">
      <c r="E397" s="11"/>
      <c r="F397" s="11"/>
      <c r="G397" s="11"/>
      <c r="H397" s="11"/>
      <c r="I397" s="7"/>
      <c r="J397" s="7"/>
      <c r="K397" s="11"/>
      <c r="L397" s="11"/>
      <c r="M397" s="12"/>
      <c r="N397" s="12"/>
      <c r="O397" s="12"/>
      <c r="P397" s="12"/>
      <c r="Q397" s="13"/>
    </row>
    <row r="398" spans="5:17" ht="15.75" customHeight="1" x14ac:dyDescent="0.2">
      <c r="E398" s="11"/>
      <c r="F398" s="11"/>
      <c r="G398" s="11"/>
      <c r="H398" s="11"/>
      <c r="I398" s="7"/>
      <c r="J398" s="7"/>
      <c r="K398" s="11"/>
      <c r="L398" s="11"/>
      <c r="M398" s="12"/>
      <c r="N398" s="12"/>
      <c r="O398" s="12"/>
      <c r="P398" s="12"/>
      <c r="Q398" s="13"/>
    </row>
    <row r="399" spans="5:17" ht="15.75" customHeight="1" x14ac:dyDescent="0.2">
      <c r="E399" s="11"/>
      <c r="F399" s="11"/>
      <c r="G399" s="11"/>
      <c r="H399" s="11"/>
      <c r="I399" s="7"/>
      <c r="J399" s="7"/>
      <c r="K399" s="11"/>
      <c r="L399" s="11"/>
      <c r="M399" s="12"/>
      <c r="N399" s="12"/>
      <c r="O399" s="12"/>
      <c r="P399" s="12"/>
      <c r="Q399" s="13"/>
    </row>
    <row r="400" spans="5:17" ht="15.75" customHeight="1" x14ac:dyDescent="0.2">
      <c r="E400" s="11"/>
      <c r="F400" s="11"/>
      <c r="G400" s="11"/>
      <c r="H400" s="11"/>
      <c r="I400" s="7"/>
      <c r="J400" s="7"/>
      <c r="K400" s="11"/>
      <c r="L400" s="11"/>
      <c r="M400" s="12"/>
      <c r="N400" s="12"/>
      <c r="O400" s="12"/>
      <c r="P400" s="12"/>
      <c r="Q400" s="13"/>
    </row>
    <row r="401" spans="5:17" ht="15.75" customHeight="1" x14ac:dyDescent="0.2">
      <c r="E401" s="11"/>
      <c r="F401" s="11"/>
      <c r="G401" s="11"/>
      <c r="H401" s="11"/>
      <c r="I401" s="7"/>
      <c r="J401" s="7"/>
      <c r="K401" s="11"/>
      <c r="L401" s="11"/>
      <c r="M401" s="12"/>
      <c r="N401" s="12"/>
      <c r="O401" s="12"/>
      <c r="P401" s="12"/>
      <c r="Q401" s="13"/>
    </row>
    <row r="402" spans="5:17" ht="15.75" customHeight="1" x14ac:dyDescent="0.2">
      <c r="E402" s="11"/>
      <c r="F402" s="11"/>
      <c r="G402" s="11"/>
      <c r="H402" s="11"/>
      <c r="I402" s="7"/>
      <c r="J402" s="7"/>
      <c r="K402" s="11"/>
      <c r="L402" s="11"/>
      <c r="M402" s="12"/>
      <c r="N402" s="12"/>
      <c r="O402" s="12"/>
      <c r="P402" s="12"/>
      <c r="Q402" s="13"/>
    </row>
    <row r="403" spans="5:17" ht="15.75" customHeight="1" x14ac:dyDescent="0.2">
      <c r="E403" s="11"/>
      <c r="F403" s="11"/>
      <c r="G403" s="11"/>
      <c r="H403" s="11"/>
      <c r="I403" s="7"/>
      <c r="J403" s="7"/>
      <c r="K403" s="11"/>
      <c r="L403" s="11"/>
      <c r="M403" s="12"/>
      <c r="N403" s="12"/>
      <c r="O403" s="12"/>
      <c r="P403" s="12"/>
      <c r="Q403" s="13"/>
    </row>
    <row r="404" spans="5:17" ht="15.75" customHeight="1" x14ac:dyDescent="0.2">
      <c r="E404" s="11"/>
      <c r="F404" s="11"/>
      <c r="G404" s="11"/>
      <c r="H404" s="11"/>
      <c r="I404" s="7"/>
      <c r="J404" s="7"/>
      <c r="K404" s="11"/>
      <c r="L404" s="11"/>
      <c r="M404" s="12"/>
      <c r="N404" s="12"/>
      <c r="O404" s="12"/>
      <c r="P404" s="12"/>
      <c r="Q404" s="13"/>
    </row>
    <row r="405" spans="5:17" ht="15.75" customHeight="1" x14ac:dyDescent="0.2">
      <c r="E405" s="11"/>
      <c r="F405" s="11"/>
      <c r="G405" s="11"/>
      <c r="H405" s="11"/>
      <c r="I405" s="7"/>
      <c r="J405" s="7"/>
      <c r="K405" s="11"/>
      <c r="L405" s="11"/>
      <c r="M405" s="12"/>
      <c r="N405" s="12"/>
      <c r="O405" s="12"/>
      <c r="P405" s="12"/>
      <c r="Q405" s="13"/>
    </row>
    <row r="406" spans="5:17" ht="15.75" customHeight="1" x14ac:dyDescent="0.2">
      <c r="E406" s="11"/>
      <c r="F406" s="11"/>
      <c r="G406" s="11"/>
      <c r="H406" s="11"/>
      <c r="I406" s="7"/>
      <c r="J406" s="7"/>
      <c r="K406" s="11"/>
      <c r="L406" s="11"/>
      <c r="M406" s="12"/>
      <c r="N406" s="12"/>
      <c r="O406" s="12"/>
      <c r="P406" s="12"/>
      <c r="Q406" s="13"/>
    </row>
    <row r="407" spans="5:17" ht="15.75" customHeight="1" x14ac:dyDescent="0.2">
      <c r="E407" s="11"/>
      <c r="F407" s="11"/>
      <c r="G407" s="11"/>
      <c r="H407" s="11"/>
      <c r="I407" s="7"/>
      <c r="J407" s="7"/>
      <c r="K407" s="11"/>
      <c r="L407" s="11"/>
      <c r="M407" s="12"/>
      <c r="N407" s="12"/>
      <c r="O407" s="12"/>
      <c r="P407" s="12"/>
      <c r="Q407" s="13"/>
    </row>
    <row r="408" spans="5:17" ht="15.75" customHeight="1" x14ac:dyDescent="0.2">
      <c r="E408" s="11"/>
      <c r="F408" s="11"/>
      <c r="G408" s="11"/>
      <c r="H408" s="11"/>
      <c r="I408" s="7"/>
      <c r="J408" s="7"/>
      <c r="K408" s="11"/>
      <c r="L408" s="11"/>
      <c r="M408" s="12"/>
      <c r="N408" s="12"/>
      <c r="O408" s="12"/>
      <c r="P408" s="12"/>
      <c r="Q408" s="13"/>
    </row>
    <row r="409" spans="5:17" ht="15.75" customHeight="1" x14ac:dyDescent="0.2">
      <c r="E409" s="11"/>
      <c r="F409" s="11"/>
      <c r="G409" s="11"/>
      <c r="H409" s="11"/>
      <c r="I409" s="7"/>
      <c r="J409" s="7"/>
      <c r="K409" s="11"/>
      <c r="L409" s="11"/>
      <c r="M409" s="12"/>
      <c r="N409" s="12"/>
      <c r="O409" s="12"/>
      <c r="P409" s="12"/>
      <c r="Q409" s="13"/>
    </row>
    <row r="410" spans="5:17" ht="15.75" customHeight="1" x14ac:dyDescent="0.2">
      <c r="E410" s="11"/>
      <c r="F410" s="11"/>
      <c r="G410" s="11"/>
      <c r="H410" s="11"/>
      <c r="I410" s="7"/>
      <c r="J410" s="7"/>
      <c r="K410" s="11"/>
      <c r="L410" s="11"/>
      <c r="M410" s="12"/>
      <c r="N410" s="12"/>
      <c r="O410" s="12"/>
      <c r="P410" s="12"/>
      <c r="Q410" s="13"/>
    </row>
    <row r="411" spans="5:17" ht="15.75" customHeight="1" x14ac:dyDescent="0.2">
      <c r="E411" s="11"/>
      <c r="F411" s="11"/>
      <c r="G411" s="11"/>
      <c r="H411" s="11"/>
      <c r="I411" s="7"/>
      <c r="J411" s="7"/>
      <c r="K411" s="11"/>
      <c r="L411" s="11"/>
      <c r="M411" s="12"/>
      <c r="N411" s="12"/>
      <c r="O411" s="12"/>
      <c r="P411" s="12"/>
      <c r="Q411" s="13"/>
    </row>
    <row r="412" spans="5:17" ht="15.75" customHeight="1" x14ac:dyDescent="0.2">
      <c r="E412" s="11"/>
      <c r="F412" s="11"/>
      <c r="G412" s="11"/>
      <c r="H412" s="11"/>
      <c r="I412" s="7"/>
      <c r="J412" s="7"/>
      <c r="K412" s="11"/>
      <c r="L412" s="11"/>
      <c r="M412" s="12"/>
      <c r="N412" s="12"/>
      <c r="O412" s="12"/>
      <c r="P412" s="12"/>
      <c r="Q412" s="13"/>
    </row>
    <row r="413" spans="5:17" ht="15.75" customHeight="1" x14ac:dyDescent="0.2">
      <c r="E413" s="11"/>
      <c r="F413" s="11"/>
      <c r="G413" s="11"/>
      <c r="H413" s="11"/>
      <c r="I413" s="7"/>
      <c r="J413" s="7"/>
      <c r="K413" s="11"/>
      <c r="L413" s="11"/>
      <c r="M413" s="12"/>
      <c r="N413" s="12"/>
      <c r="O413" s="12"/>
      <c r="P413" s="12"/>
      <c r="Q413" s="13"/>
    </row>
    <row r="414" spans="5:17" ht="15.75" customHeight="1" x14ac:dyDescent="0.2">
      <c r="E414" s="11"/>
      <c r="F414" s="11"/>
      <c r="G414" s="11"/>
      <c r="H414" s="11"/>
      <c r="I414" s="7"/>
      <c r="J414" s="7"/>
      <c r="K414" s="11"/>
      <c r="L414" s="11"/>
      <c r="M414" s="12"/>
      <c r="N414" s="12"/>
      <c r="O414" s="12"/>
      <c r="P414" s="12"/>
      <c r="Q414" s="13"/>
    </row>
    <row r="415" spans="5:17" ht="15.75" customHeight="1" x14ac:dyDescent="0.2">
      <c r="E415" s="11"/>
      <c r="F415" s="11"/>
      <c r="G415" s="11"/>
      <c r="H415" s="11"/>
      <c r="I415" s="7"/>
      <c r="J415" s="7"/>
      <c r="K415" s="11"/>
      <c r="L415" s="11"/>
      <c r="M415" s="12"/>
      <c r="N415" s="12"/>
      <c r="O415" s="12"/>
      <c r="P415" s="12"/>
      <c r="Q415" s="13"/>
    </row>
    <row r="416" spans="5:17" ht="15.75" customHeight="1" x14ac:dyDescent="0.2">
      <c r="E416" s="11"/>
      <c r="F416" s="11"/>
      <c r="G416" s="11"/>
      <c r="H416" s="11"/>
      <c r="I416" s="7"/>
      <c r="J416" s="7"/>
      <c r="K416" s="11"/>
      <c r="L416" s="11"/>
      <c r="M416" s="12"/>
      <c r="N416" s="12"/>
      <c r="O416" s="12"/>
      <c r="P416" s="12"/>
      <c r="Q416" s="13"/>
    </row>
    <row r="417" spans="5:17" ht="15.75" customHeight="1" x14ac:dyDescent="0.2">
      <c r="E417" s="11"/>
      <c r="F417" s="11"/>
      <c r="G417" s="11"/>
      <c r="H417" s="11"/>
      <c r="I417" s="7"/>
      <c r="J417" s="7"/>
      <c r="K417" s="11"/>
      <c r="L417" s="11"/>
      <c r="M417" s="12"/>
      <c r="N417" s="12"/>
      <c r="O417" s="12"/>
      <c r="P417" s="12"/>
      <c r="Q417" s="13"/>
    </row>
    <row r="418" spans="5:17" ht="15.75" customHeight="1" x14ac:dyDescent="0.2">
      <c r="E418" s="11"/>
      <c r="F418" s="11"/>
      <c r="G418" s="11"/>
      <c r="H418" s="11"/>
      <c r="I418" s="7"/>
      <c r="J418" s="7"/>
      <c r="K418" s="11"/>
      <c r="L418" s="11"/>
      <c r="M418" s="12"/>
      <c r="N418" s="12"/>
      <c r="O418" s="12"/>
      <c r="P418" s="12"/>
      <c r="Q418" s="13"/>
    </row>
    <row r="419" spans="5:17" ht="15.75" customHeight="1" x14ac:dyDescent="0.2">
      <c r="E419" s="11"/>
      <c r="F419" s="11"/>
      <c r="G419" s="11"/>
      <c r="H419" s="11"/>
      <c r="I419" s="7"/>
      <c r="J419" s="7"/>
      <c r="K419" s="11"/>
      <c r="L419" s="11"/>
      <c r="M419" s="12"/>
      <c r="N419" s="12"/>
      <c r="O419" s="12"/>
      <c r="P419" s="12"/>
      <c r="Q419" s="13"/>
    </row>
    <row r="420" spans="5:17" ht="15.75" customHeight="1" x14ac:dyDescent="0.2">
      <c r="E420" s="11"/>
      <c r="F420" s="11"/>
      <c r="G420" s="11"/>
      <c r="H420" s="11"/>
      <c r="I420" s="7"/>
      <c r="J420" s="7"/>
      <c r="K420" s="11"/>
      <c r="L420" s="11"/>
      <c r="M420" s="12"/>
      <c r="N420" s="12"/>
      <c r="O420" s="12"/>
      <c r="P420" s="12"/>
      <c r="Q420" s="13"/>
    </row>
    <row r="421" spans="5:17" ht="15.75" customHeight="1" x14ac:dyDescent="0.2">
      <c r="E421" s="11"/>
      <c r="F421" s="11"/>
      <c r="G421" s="11"/>
      <c r="H421" s="11"/>
      <c r="I421" s="7"/>
      <c r="J421" s="7"/>
      <c r="K421" s="11"/>
      <c r="L421" s="11"/>
      <c r="M421" s="12"/>
      <c r="N421" s="12"/>
      <c r="O421" s="12"/>
      <c r="P421" s="12"/>
      <c r="Q421" s="13"/>
    </row>
    <row r="422" spans="5:17" ht="15.75" customHeight="1" x14ac:dyDescent="0.2">
      <c r="E422" s="11"/>
      <c r="F422" s="11"/>
      <c r="G422" s="11"/>
      <c r="H422" s="11"/>
      <c r="I422" s="7"/>
      <c r="J422" s="7"/>
      <c r="K422" s="11"/>
      <c r="L422" s="11"/>
      <c r="M422" s="12"/>
      <c r="N422" s="12"/>
      <c r="O422" s="12"/>
      <c r="P422" s="12"/>
      <c r="Q422" s="13"/>
    </row>
    <row r="423" spans="5:17" ht="15.75" customHeight="1" x14ac:dyDescent="0.2">
      <c r="E423" s="11"/>
      <c r="F423" s="11"/>
      <c r="G423" s="11"/>
      <c r="H423" s="11"/>
      <c r="I423" s="7"/>
      <c r="J423" s="7"/>
      <c r="K423" s="11"/>
      <c r="L423" s="11"/>
      <c r="M423" s="12"/>
      <c r="N423" s="12"/>
      <c r="O423" s="12"/>
      <c r="P423" s="12"/>
      <c r="Q423" s="13"/>
    </row>
    <row r="424" spans="5:17" ht="15.75" customHeight="1" x14ac:dyDescent="0.2">
      <c r="E424" s="11"/>
      <c r="F424" s="11"/>
      <c r="G424" s="11"/>
      <c r="H424" s="11"/>
      <c r="I424" s="7"/>
      <c r="J424" s="7"/>
      <c r="K424" s="11"/>
      <c r="L424" s="11"/>
      <c r="M424" s="12"/>
      <c r="N424" s="12"/>
      <c r="O424" s="12"/>
      <c r="P424" s="12"/>
      <c r="Q424" s="13"/>
    </row>
    <row r="425" spans="5:17" ht="15.75" customHeight="1" x14ac:dyDescent="0.2">
      <c r="E425" s="11"/>
      <c r="F425" s="11"/>
      <c r="G425" s="11"/>
      <c r="H425" s="11"/>
      <c r="I425" s="7"/>
      <c r="J425" s="7"/>
      <c r="K425" s="11"/>
      <c r="L425" s="11"/>
      <c r="M425" s="12"/>
      <c r="N425" s="12"/>
      <c r="O425" s="12"/>
      <c r="P425" s="12"/>
      <c r="Q425" s="13"/>
    </row>
    <row r="426" spans="5:17" ht="15.75" customHeight="1" x14ac:dyDescent="0.2">
      <c r="E426" s="11"/>
      <c r="F426" s="11"/>
      <c r="G426" s="11"/>
      <c r="H426" s="11"/>
      <c r="I426" s="7"/>
      <c r="J426" s="7"/>
      <c r="K426" s="11"/>
      <c r="L426" s="11"/>
      <c r="M426" s="12"/>
      <c r="N426" s="12"/>
      <c r="O426" s="12"/>
      <c r="P426" s="12"/>
      <c r="Q426" s="13"/>
    </row>
    <row r="427" spans="5:17" ht="15.75" customHeight="1" x14ac:dyDescent="0.2">
      <c r="E427" s="11"/>
      <c r="F427" s="11"/>
      <c r="G427" s="11"/>
      <c r="H427" s="11"/>
      <c r="I427" s="7"/>
      <c r="J427" s="7"/>
      <c r="K427" s="11"/>
      <c r="L427" s="11"/>
      <c r="M427" s="12"/>
      <c r="N427" s="12"/>
      <c r="O427" s="12"/>
      <c r="P427" s="12"/>
      <c r="Q427" s="13"/>
    </row>
    <row r="428" spans="5:17" ht="15.75" customHeight="1" x14ac:dyDescent="0.2">
      <c r="E428" s="11"/>
      <c r="F428" s="11"/>
      <c r="G428" s="11"/>
      <c r="H428" s="11"/>
      <c r="I428" s="7"/>
      <c r="J428" s="7"/>
      <c r="K428" s="11"/>
      <c r="L428" s="11"/>
      <c r="M428" s="12"/>
      <c r="N428" s="12"/>
      <c r="O428" s="12"/>
      <c r="P428" s="12"/>
      <c r="Q428" s="13"/>
    </row>
    <row r="429" spans="5:17" ht="15.75" customHeight="1" x14ac:dyDescent="0.2">
      <c r="E429" s="11"/>
      <c r="F429" s="11"/>
      <c r="G429" s="11"/>
      <c r="H429" s="11"/>
      <c r="I429" s="7"/>
      <c r="J429" s="7"/>
      <c r="K429" s="11"/>
      <c r="L429" s="11"/>
      <c r="M429" s="12"/>
      <c r="N429" s="12"/>
      <c r="O429" s="12"/>
      <c r="P429" s="12"/>
      <c r="Q429" s="13"/>
    </row>
    <row r="430" spans="5:17" ht="15.75" customHeight="1" x14ac:dyDescent="0.2">
      <c r="E430" s="11"/>
      <c r="F430" s="11"/>
      <c r="G430" s="11"/>
      <c r="H430" s="11"/>
      <c r="I430" s="7"/>
      <c r="J430" s="7"/>
      <c r="K430" s="11"/>
      <c r="L430" s="11"/>
      <c r="M430" s="12"/>
      <c r="N430" s="12"/>
      <c r="O430" s="12"/>
      <c r="P430" s="12"/>
      <c r="Q430" s="13"/>
    </row>
    <row r="431" spans="5:17" ht="15.75" customHeight="1" x14ac:dyDescent="0.2">
      <c r="E431" s="11"/>
      <c r="F431" s="11"/>
      <c r="G431" s="11"/>
      <c r="H431" s="11"/>
      <c r="I431" s="7"/>
      <c r="J431" s="7"/>
      <c r="K431" s="11"/>
      <c r="L431" s="11"/>
      <c r="M431" s="12"/>
      <c r="N431" s="12"/>
      <c r="O431" s="12"/>
      <c r="P431" s="12"/>
      <c r="Q431" s="13"/>
    </row>
    <row r="432" spans="5:17" ht="15.75" customHeight="1" x14ac:dyDescent="0.2">
      <c r="E432" s="11"/>
      <c r="F432" s="11"/>
      <c r="G432" s="11"/>
      <c r="H432" s="11"/>
      <c r="I432" s="7"/>
      <c r="J432" s="7"/>
      <c r="K432" s="11"/>
      <c r="L432" s="11"/>
      <c r="M432" s="12"/>
      <c r="N432" s="12"/>
      <c r="O432" s="12"/>
      <c r="P432" s="12"/>
      <c r="Q432" s="13"/>
    </row>
    <row r="433" spans="5:17" ht="15.75" customHeight="1" x14ac:dyDescent="0.2">
      <c r="E433" s="11"/>
      <c r="F433" s="11"/>
      <c r="G433" s="11"/>
      <c r="H433" s="11"/>
      <c r="I433" s="7"/>
      <c r="J433" s="7"/>
      <c r="K433" s="11"/>
      <c r="L433" s="11"/>
      <c r="M433" s="12"/>
      <c r="N433" s="12"/>
      <c r="O433" s="12"/>
      <c r="P433" s="12"/>
      <c r="Q433" s="13"/>
    </row>
    <row r="434" spans="5:17" ht="15.75" customHeight="1" x14ac:dyDescent="0.2">
      <c r="E434" s="11"/>
      <c r="F434" s="11"/>
      <c r="G434" s="11"/>
      <c r="H434" s="11"/>
      <c r="I434" s="7"/>
      <c r="J434" s="7"/>
      <c r="K434" s="11"/>
      <c r="L434" s="11"/>
      <c r="M434" s="12"/>
      <c r="N434" s="12"/>
      <c r="O434" s="12"/>
      <c r="P434" s="12"/>
      <c r="Q434" s="13"/>
    </row>
    <row r="435" spans="5:17" ht="15.75" customHeight="1" x14ac:dyDescent="0.2">
      <c r="E435" s="11"/>
      <c r="F435" s="11"/>
      <c r="G435" s="11"/>
      <c r="H435" s="11"/>
      <c r="I435" s="7"/>
      <c r="J435" s="7"/>
      <c r="K435" s="11"/>
      <c r="L435" s="11"/>
      <c r="M435" s="12"/>
      <c r="N435" s="12"/>
      <c r="O435" s="12"/>
      <c r="P435" s="12"/>
      <c r="Q435" s="13"/>
    </row>
    <row r="436" spans="5:17" ht="15.75" customHeight="1" x14ac:dyDescent="0.2">
      <c r="E436" s="11"/>
      <c r="F436" s="11"/>
      <c r="G436" s="11"/>
      <c r="H436" s="11"/>
      <c r="I436" s="7"/>
      <c r="J436" s="7"/>
      <c r="K436" s="11"/>
      <c r="L436" s="11"/>
      <c r="M436" s="12"/>
      <c r="N436" s="12"/>
      <c r="O436" s="12"/>
      <c r="P436" s="12"/>
      <c r="Q436" s="13"/>
    </row>
    <row r="437" spans="5:17" ht="15.75" customHeight="1" x14ac:dyDescent="0.2">
      <c r="E437" s="11"/>
      <c r="F437" s="11"/>
      <c r="G437" s="11"/>
      <c r="H437" s="11"/>
      <c r="I437" s="7"/>
      <c r="J437" s="7"/>
      <c r="K437" s="11"/>
      <c r="L437" s="11"/>
      <c r="M437" s="12"/>
      <c r="N437" s="12"/>
      <c r="O437" s="12"/>
      <c r="P437" s="12"/>
      <c r="Q437" s="13"/>
    </row>
    <row r="438" spans="5:17" ht="15.75" customHeight="1" x14ac:dyDescent="0.2">
      <c r="E438" s="11"/>
      <c r="F438" s="11"/>
      <c r="G438" s="11"/>
      <c r="H438" s="11"/>
      <c r="I438" s="7"/>
      <c r="J438" s="7"/>
      <c r="K438" s="11"/>
      <c r="L438" s="11"/>
      <c r="M438" s="12"/>
      <c r="N438" s="12"/>
      <c r="O438" s="12"/>
      <c r="P438" s="12"/>
      <c r="Q438" s="13"/>
    </row>
    <row r="439" spans="5:17" ht="15.75" customHeight="1" x14ac:dyDescent="0.2">
      <c r="E439" s="11"/>
      <c r="F439" s="11"/>
      <c r="G439" s="11"/>
      <c r="H439" s="11"/>
      <c r="I439" s="7"/>
      <c r="J439" s="7"/>
      <c r="K439" s="11"/>
      <c r="L439" s="11"/>
      <c r="M439" s="12"/>
      <c r="N439" s="12"/>
      <c r="O439" s="12"/>
      <c r="P439" s="12"/>
      <c r="Q439" s="13"/>
    </row>
    <row r="440" spans="5:17" ht="15.75" customHeight="1" x14ac:dyDescent="0.2">
      <c r="E440" s="11"/>
      <c r="F440" s="11"/>
      <c r="G440" s="11"/>
      <c r="H440" s="11"/>
      <c r="I440" s="7"/>
      <c r="J440" s="7"/>
      <c r="K440" s="11"/>
      <c r="L440" s="11"/>
      <c r="M440" s="12"/>
      <c r="N440" s="12"/>
      <c r="O440" s="12"/>
      <c r="P440" s="12"/>
      <c r="Q440" s="13"/>
    </row>
    <row r="441" spans="5:17" ht="15.75" customHeight="1" x14ac:dyDescent="0.2">
      <c r="E441" s="11"/>
      <c r="F441" s="11"/>
      <c r="G441" s="11"/>
      <c r="H441" s="11"/>
      <c r="I441" s="7"/>
      <c r="J441" s="7"/>
      <c r="K441" s="11"/>
      <c r="L441" s="11"/>
      <c r="M441" s="12"/>
      <c r="N441" s="12"/>
      <c r="O441" s="12"/>
      <c r="P441" s="12"/>
      <c r="Q441" s="13"/>
    </row>
    <row r="442" spans="5:17" ht="15.75" customHeight="1" x14ac:dyDescent="0.2">
      <c r="E442" s="11"/>
      <c r="F442" s="11"/>
      <c r="G442" s="11"/>
      <c r="H442" s="11"/>
      <c r="I442" s="7"/>
      <c r="J442" s="7"/>
      <c r="K442" s="11"/>
      <c r="L442" s="11"/>
      <c r="M442" s="12"/>
      <c r="N442" s="12"/>
      <c r="O442" s="12"/>
      <c r="P442" s="12"/>
      <c r="Q442" s="13"/>
    </row>
    <row r="443" spans="5:17" ht="15.75" customHeight="1" x14ac:dyDescent="0.2">
      <c r="E443" s="11"/>
      <c r="F443" s="11"/>
      <c r="G443" s="11"/>
      <c r="H443" s="11"/>
      <c r="I443" s="7"/>
      <c r="J443" s="7"/>
      <c r="K443" s="11"/>
      <c r="L443" s="11"/>
      <c r="M443" s="12"/>
      <c r="N443" s="12"/>
      <c r="O443" s="12"/>
      <c r="P443" s="12"/>
      <c r="Q443" s="13"/>
    </row>
    <row r="444" spans="5:17" ht="15.75" customHeight="1" x14ac:dyDescent="0.2">
      <c r="E444" s="11"/>
      <c r="F444" s="11"/>
      <c r="G444" s="11"/>
      <c r="H444" s="11"/>
      <c r="I444" s="7"/>
      <c r="J444" s="7"/>
      <c r="K444" s="11"/>
      <c r="L444" s="11"/>
      <c r="M444" s="12"/>
      <c r="N444" s="12"/>
      <c r="O444" s="12"/>
      <c r="P444" s="12"/>
      <c r="Q444" s="13"/>
    </row>
    <row r="445" spans="5:17" ht="15.75" customHeight="1" x14ac:dyDescent="0.2">
      <c r="E445" s="11"/>
      <c r="F445" s="11"/>
      <c r="G445" s="11"/>
      <c r="H445" s="11"/>
      <c r="I445" s="7"/>
      <c r="J445" s="7"/>
      <c r="K445" s="11"/>
      <c r="L445" s="11"/>
      <c r="M445" s="12"/>
      <c r="N445" s="12"/>
      <c r="O445" s="12"/>
      <c r="P445" s="12"/>
      <c r="Q445" s="13"/>
    </row>
    <row r="446" spans="5:17" ht="15.75" customHeight="1" x14ac:dyDescent="0.2">
      <c r="E446" s="11"/>
      <c r="F446" s="11"/>
      <c r="G446" s="11"/>
      <c r="H446" s="11"/>
      <c r="I446" s="7"/>
      <c r="J446" s="7"/>
      <c r="K446" s="11"/>
      <c r="L446" s="11"/>
      <c r="M446" s="12"/>
      <c r="N446" s="12"/>
      <c r="O446" s="12"/>
      <c r="P446" s="12"/>
      <c r="Q446" s="13"/>
    </row>
    <row r="447" spans="5:17" ht="15.75" customHeight="1" x14ac:dyDescent="0.2">
      <c r="E447" s="11"/>
      <c r="F447" s="11"/>
      <c r="G447" s="11"/>
      <c r="H447" s="11"/>
      <c r="I447" s="7"/>
      <c r="J447" s="7"/>
      <c r="K447" s="11"/>
      <c r="L447" s="11"/>
      <c r="M447" s="12"/>
      <c r="N447" s="12"/>
      <c r="O447" s="12"/>
      <c r="P447" s="12"/>
      <c r="Q447" s="13"/>
    </row>
    <row r="448" spans="5:17" ht="15.75" customHeight="1" x14ac:dyDescent="0.2">
      <c r="E448" s="11"/>
      <c r="F448" s="11"/>
      <c r="G448" s="11"/>
      <c r="H448" s="11"/>
      <c r="I448" s="7"/>
      <c r="J448" s="7"/>
      <c r="K448" s="11"/>
      <c r="L448" s="11"/>
      <c r="M448" s="12"/>
      <c r="N448" s="12"/>
      <c r="O448" s="12"/>
      <c r="P448" s="12"/>
      <c r="Q448" s="13"/>
    </row>
    <row r="449" spans="5:17" ht="15.75" customHeight="1" x14ac:dyDescent="0.2">
      <c r="E449" s="11"/>
      <c r="F449" s="11"/>
      <c r="G449" s="11"/>
      <c r="H449" s="11"/>
      <c r="I449" s="7"/>
      <c r="J449" s="7"/>
      <c r="K449" s="11"/>
      <c r="L449" s="11"/>
      <c r="M449" s="12"/>
      <c r="N449" s="12"/>
      <c r="O449" s="12"/>
      <c r="P449" s="12"/>
      <c r="Q449" s="13"/>
    </row>
    <row r="450" spans="5:17" ht="15.75" customHeight="1" x14ac:dyDescent="0.2">
      <c r="E450" s="11"/>
      <c r="F450" s="11"/>
      <c r="G450" s="11"/>
      <c r="H450" s="11"/>
      <c r="I450" s="7"/>
      <c r="J450" s="7"/>
      <c r="K450" s="11"/>
      <c r="L450" s="11"/>
      <c r="M450" s="12"/>
      <c r="N450" s="12"/>
      <c r="O450" s="12"/>
      <c r="P450" s="12"/>
      <c r="Q450" s="13"/>
    </row>
    <row r="451" spans="5:17" ht="15.75" customHeight="1" x14ac:dyDescent="0.2">
      <c r="E451" s="11"/>
      <c r="F451" s="11"/>
      <c r="G451" s="11"/>
      <c r="H451" s="11"/>
      <c r="I451" s="7"/>
      <c r="J451" s="7"/>
      <c r="K451" s="11"/>
      <c r="L451" s="11"/>
      <c r="M451" s="12"/>
      <c r="N451" s="12"/>
      <c r="O451" s="12"/>
      <c r="P451" s="12"/>
      <c r="Q451" s="13"/>
    </row>
    <row r="452" spans="5:17" ht="15.75" customHeight="1" x14ac:dyDescent="0.2">
      <c r="E452" s="11"/>
      <c r="F452" s="11"/>
      <c r="G452" s="11"/>
      <c r="H452" s="11"/>
      <c r="I452" s="7"/>
      <c r="J452" s="7"/>
      <c r="K452" s="11"/>
      <c r="L452" s="11"/>
      <c r="M452" s="12"/>
      <c r="N452" s="12"/>
      <c r="O452" s="12"/>
      <c r="P452" s="12"/>
      <c r="Q452" s="13"/>
    </row>
    <row r="453" spans="5:17" ht="15.75" customHeight="1" x14ac:dyDescent="0.2">
      <c r="E453" s="11"/>
      <c r="F453" s="11"/>
      <c r="G453" s="11"/>
      <c r="H453" s="11"/>
      <c r="I453" s="7"/>
      <c r="J453" s="7"/>
      <c r="K453" s="11"/>
      <c r="L453" s="11"/>
      <c r="M453" s="12"/>
      <c r="N453" s="12"/>
      <c r="O453" s="12"/>
      <c r="P453" s="12"/>
      <c r="Q453" s="13"/>
    </row>
    <row r="454" spans="5:17" ht="15.75" customHeight="1" x14ac:dyDescent="0.2">
      <c r="E454" s="11"/>
      <c r="F454" s="11"/>
      <c r="G454" s="11"/>
      <c r="H454" s="11"/>
      <c r="I454" s="7"/>
      <c r="J454" s="7"/>
      <c r="K454" s="11"/>
      <c r="L454" s="11"/>
      <c r="M454" s="12"/>
      <c r="N454" s="12"/>
      <c r="O454" s="12"/>
      <c r="P454" s="12"/>
      <c r="Q454" s="13"/>
    </row>
    <row r="455" spans="5:17" ht="15.75" customHeight="1" x14ac:dyDescent="0.2">
      <c r="E455" s="11"/>
      <c r="F455" s="11"/>
      <c r="G455" s="11"/>
      <c r="H455" s="11"/>
      <c r="I455" s="7"/>
      <c r="J455" s="7"/>
      <c r="K455" s="11"/>
      <c r="L455" s="11"/>
      <c r="M455" s="12"/>
      <c r="N455" s="12"/>
      <c r="O455" s="12"/>
      <c r="P455" s="12"/>
      <c r="Q455" s="13"/>
    </row>
    <row r="456" spans="5:17" ht="15.75" customHeight="1" x14ac:dyDescent="0.2">
      <c r="E456" s="11"/>
      <c r="F456" s="11"/>
      <c r="G456" s="11"/>
      <c r="H456" s="11"/>
      <c r="I456" s="7"/>
      <c r="J456" s="7"/>
      <c r="K456" s="11"/>
      <c r="L456" s="11"/>
      <c r="M456" s="12"/>
      <c r="N456" s="12"/>
      <c r="O456" s="12"/>
      <c r="P456" s="12"/>
      <c r="Q456" s="13"/>
    </row>
    <row r="457" spans="5:17" ht="15.75" customHeight="1" x14ac:dyDescent="0.2">
      <c r="E457" s="11"/>
      <c r="F457" s="11"/>
      <c r="G457" s="11"/>
      <c r="H457" s="11"/>
      <c r="I457" s="7"/>
      <c r="J457" s="7"/>
      <c r="K457" s="11"/>
      <c r="L457" s="11"/>
      <c r="M457" s="12"/>
      <c r="N457" s="12"/>
      <c r="O457" s="12"/>
      <c r="P457" s="12"/>
      <c r="Q457" s="13"/>
    </row>
    <row r="458" spans="5:17" ht="15.75" customHeight="1" x14ac:dyDescent="0.2">
      <c r="E458" s="11"/>
      <c r="F458" s="11"/>
      <c r="G458" s="11"/>
      <c r="H458" s="11"/>
      <c r="I458" s="7"/>
      <c r="J458" s="7"/>
      <c r="K458" s="11"/>
      <c r="L458" s="11"/>
      <c r="M458" s="12"/>
      <c r="N458" s="12"/>
      <c r="O458" s="12"/>
      <c r="P458" s="12"/>
      <c r="Q458" s="13"/>
    </row>
    <row r="459" spans="5:17" ht="15.75" customHeight="1" x14ac:dyDescent="0.2">
      <c r="E459" s="11"/>
      <c r="F459" s="11"/>
      <c r="G459" s="11"/>
      <c r="H459" s="11"/>
      <c r="I459" s="7"/>
      <c r="J459" s="7"/>
      <c r="K459" s="11"/>
      <c r="L459" s="11"/>
      <c r="M459" s="12"/>
      <c r="N459" s="12"/>
      <c r="O459" s="12"/>
      <c r="P459" s="12"/>
      <c r="Q459" s="13"/>
    </row>
    <row r="460" spans="5:17" ht="15.75" customHeight="1" x14ac:dyDescent="0.2">
      <c r="E460" s="11"/>
      <c r="F460" s="11"/>
      <c r="G460" s="11"/>
      <c r="H460" s="11"/>
      <c r="I460" s="7"/>
      <c r="J460" s="7"/>
      <c r="K460" s="11"/>
      <c r="L460" s="11"/>
      <c r="M460" s="12"/>
      <c r="N460" s="12"/>
      <c r="O460" s="12"/>
      <c r="P460" s="12"/>
      <c r="Q460" s="13"/>
    </row>
    <row r="461" spans="5:17" ht="15.75" customHeight="1" x14ac:dyDescent="0.2">
      <c r="E461" s="11"/>
      <c r="F461" s="11"/>
      <c r="G461" s="11"/>
      <c r="H461" s="11"/>
      <c r="I461" s="7"/>
      <c r="J461" s="7"/>
      <c r="K461" s="11"/>
      <c r="L461" s="11"/>
      <c r="M461" s="12"/>
      <c r="N461" s="12"/>
      <c r="O461" s="12"/>
      <c r="P461" s="12"/>
      <c r="Q461" s="13"/>
    </row>
    <row r="462" spans="5:17" ht="15.75" customHeight="1" x14ac:dyDescent="0.2">
      <c r="E462" s="11"/>
      <c r="F462" s="11"/>
      <c r="G462" s="11"/>
      <c r="H462" s="11"/>
      <c r="I462" s="7"/>
      <c r="J462" s="7"/>
      <c r="K462" s="11"/>
      <c r="L462" s="11"/>
      <c r="M462" s="12"/>
      <c r="N462" s="12"/>
      <c r="O462" s="12"/>
      <c r="P462" s="12"/>
      <c r="Q462" s="13"/>
    </row>
    <row r="463" spans="5:17" ht="15.75" customHeight="1" x14ac:dyDescent="0.2">
      <c r="E463" s="11"/>
      <c r="F463" s="11"/>
      <c r="G463" s="11"/>
      <c r="H463" s="11"/>
      <c r="I463" s="7"/>
      <c r="J463" s="7"/>
      <c r="K463" s="11"/>
      <c r="L463" s="11"/>
      <c r="M463" s="12"/>
      <c r="N463" s="12"/>
      <c r="O463" s="12"/>
      <c r="P463" s="12"/>
      <c r="Q463" s="13"/>
    </row>
    <row r="464" spans="5:17" ht="15.75" customHeight="1" x14ac:dyDescent="0.2">
      <c r="E464" s="11"/>
      <c r="F464" s="11"/>
      <c r="G464" s="11"/>
      <c r="H464" s="11"/>
      <c r="I464" s="7"/>
      <c r="J464" s="7"/>
      <c r="K464" s="11"/>
      <c r="L464" s="11"/>
      <c r="M464" s="12"/>
      <c r="N464" s="12"/>
      <c r="O464" s="12"/>
      <c r="P464" s="12"/>
      <c r="Q464" s="13"/>
    </row>
    <row r="465" spans="5:17" ht="15.75" customHeight="1" x14ac:dyDescent="0.2">
      <c r="E465" s="11"/>
      <c r="F465" s="11"/>
      <c r="G465" s="11"/>
      <c r="H465" s="11"/>
      <c r="I465" s="7"/>
      <c r="J465" s="7"/>
      <c r="K465" s="11"/>
      <c r="L465" s="11"/>
      <c r="M465" s="12"/>
      <c r="N465" s="12"/>
      <c r="O465" s="12"/>
      <c r="P465" s="12"/>
      <c r="Q465" s="13"/>
    </row>
    <row r="466" spans="5:17" ht="15.75" customHeight="1" x14ac:dyDescent="0.2">
      <c r="E466" s="11"/>
      <c r="F466" s="11"/>
      <c r="G466" s="11"/>
      <c r="H466" s="11"/>
      <c r="I466" s="7"/>
      <c r="J466" s="7"/>
      <c r="K466" s="11"/>
      <c r="L466" s="11"/>
      <c r="M466" s="12"/>
      <c r="N466" s="12"/>
      <c r="O466" s="12"/>
      <c r="P466" s="12"/>
      <c r="Q466" s="13"/>
    </row>
    <row r="467" spans="5:17" ht="15.75" customHeight="1" x14ac:dyDescent="0.2">
      <c r="E467" s="11"/>
      <c r="F467" s="11"/>
      <c r="G467" s="11"/>
      <c r="H467" s="11"/>
      <c r="I467" s="7"/>
      <c r="J467" s="7"/>
      <c r="K467" s="11"/>
      <c r="L467" s="11"/>
      <c r="M467" s="12"/>
      <c r="N467" s="12"/>
      <c r="O467" s="12"/>
      <c r="P467" s="12"/>
      <c r="Q467" s="13"/>
    </row>
    <row r="468" spans="5:17" ht="15.75" customHeight="1" x14ac:dyDescent="0.2">
      <c r="E468" s="11"/>
      <c r="F468" s="11"/>
      <c r="G468" s="11"/>
      <c r="H468" s="11"/>
      <c r="I468" s="7"/>
      <c r="J468" s="7"/>
      <c r="K468" s="11"/>
      <c r="L468" s="11"/>
      <c r="M468" s="12"/>
      <c r="N468" s="12"/>
      <c r="O468" s="12"/>
      <c r="P468" s="12"/>
      <c r="Q468" s="13"/>
    </row>
    <row r="469" spans="5:17" ht="15.75" customHeight="1" x14ac:dyDescent="0.2">
      <c r="E469" s="11"/>
      <c r="F469" s="11"/>
      <c r="G469" s="11"/>
      <c r="H469" s="11"/>
      <c r="I469" s="7"/>
      <c r="J469" s="7"/>
      <c r="K469" s="11"/>
      <c r="L469" s="11"/>
      <c r="M469" s="12"/>
      <c r="N469" s="12"/>
      <c r="O469" s="12"/>
      <c r="P469" s="12"/>
      <c r="Q469" s="13"/>
    </row>
    <row r="470" spans="5:17" ht="15.75" customHeight="1" x14ac:dyDescent="0.2">
      <c r="E470" s="11"/>
      <c r="F470" s="11"/>
      <c r="G470" s="11"/>
      <c r="H470" s="11"/>
      <c r="I470" s="7"/>
      <c r="J470" s="7"/>
      <c r="K470" s="11"/>
      <c r="L470" s="11"/>
      <c r="M470" s="12"/>
      <c r="N470" s="12"/>
      <c r="O470" s="12"/>
      <c r="P470" s="12"/>
      <c r="Q470" s="13"/>
    </row>
    <row r="471" spans="5:17" ht="15.75" customHeight="1" x14ac:dyDescent="0.2">
      <c r="E471" s="11"/>
      <c r="F471" s="11"/>
      <c r="G471" s="11"/>
      <c r="H471" s="11"/>
      <c r="I471" s="7"/>
      <c r="J471" s="7"/>
      <c r="K471" s="11"/>
      <c r="L471" s="11"/>
      <c r="M471" s="12"/>
      <c r="N471" s="12"/>
      <c r="O471" s="12"/>
      <c r="P471" s="12"/>
      <c r="Q471" s="13"/>
    </row>
    <row r="472" spans="5:17" ht="15.75" customHeight="1" x14ac:dyDescent="0.2">
      <c r="E472" s="11"/>
      <c r="F472" s="11"/>
      <c r="G472" s="11"/>
      <c r="H472" s="11"/>
      <c r="I472" s="7"/>
      <c r="J472" s="7"/>
      <c r="K472" s="11"/>
      <c r="L472" s="11"/>
      <c r="M472" s="12"/>
      <c r="N472" s="12"/>
      <c r="O472" s="12"/>
      <c r="P472" s="12"/>
      <c r="Q472" s="13"/>
    </row>
    <row r="473" spans="5:17" ht="15.75" customHeight="1" x14ac:dyDescent="0.2">
      <c r="E473" s="11"/>
      <c r="F473" s="11"/>
      <c r="G473" s="11"/>
      <c r="H473" s="11"/>
      <c r="I473" s="7"/>
      <c r="J473" s="7"/>
      <c r="K473" s="11"/>
      <c r="L473" s="11"/>
      <c r="M473" s="12"/>
      <c r="N473" s="12"/>
      <c r="O473" s="12"/>
      <c r="P473" s="12"/>
      <c r="Q473" s="13"/>
    </row>
    <row r="474" spans="5:17" ht="15.75" customHeight="1" x14ac:dyDescent="0.2">
      <c r="E474" s="11"/>
      <c r="F474" s="11"/>
      <c r="G474" s="11"/>
      <c r="H474" s="11"/>
      <c r="I474" s="7"/>
      <c r="J474" s="7"/>
      <c r="K474" s="11"/>
      <c r="L474" s="11"/>
      <c r="M474" s="12"/>
      <c r="N474" s="12"/>
      <c r="O474" s="12"/>
      <c r="P474" s="12"/>
      <c r="Q474" s="13"/>
    </row>
    <row r="475" spans="5:17" ht="15.75" customHeight="1" x14ac:dyDescent="0.2">
      <c r="E475" s="11"/>
      <c r="F475" s="11"/>
      <c r="G475" s="11"/>
      <c r="H475" s="11"/>
      <c r="I475" s="7"/>
      <c r="J475" s="7"/>
      <c r="K475" s="11"/>
      <c r="L475" s="11"/>
      <c r="M475" s="12"/>
      <c r="N475" s="12"/>
      <c r="O475" s="12"/>
      <c r="P475" s="12"/>
      <c r="Q475" s="13"/>
    </row>
    <row r="476" spans="5:17" ht="15.75" customHeight="1" x14ac:dyDescent="0.2">
      <c r="E476" s="11"/>
      <c r="F476" s="11"/>
      <c r="G476" s="11"/>
      <c r="H476" s="11"/>
      <c r="I476" s="7"/>
      <c r="J476" s="7"/>
      <c r="K476" s="11"/>
      <c r="L476" s="11"/>
      <c r="M476" s="12"/>
      <c r="N476" s="12"/>
      <c r="O476" s="12"/>
      <c r="P476" s="12"/>
      <c r="Q476" s="13"/>
    </row>
    <row r="477" spans="5:17" ht="15.75" customHeight="1" x14ac:dyDescent="0.2">
      <c r="E477" s="11"/>
      <c r="F477" s="11"/>
      <c r="G477" s="11"/>
      <c r="H477" s="11"/>
      <c r="I477" s="7"/>
      <c r="J477" s="7"/>
      <c r="K477" s="11"/>
      <c r="L477" s="11"/>
      <c r="M477" s="12"/>
      <c r="N477" s="12"/>
      <c r="O477" s="12"/>
      <c r="P477" s="12"/>
      <c r="Q477" s="13"/>
    </row>
    <row r="478" spans="5:17" ht="15.75" customHeight="1" x14ac:dyDescent="0.2">
      <c r="E478" s="11"/>
      <c r="F478" s="11"/>
      <c r="G478" s="11"/>
      <c r="H478" s="11"/>
      <c r="I478" s="7"/>
      <c r="J478" s="7"/>
      <c r="K478" s="11"/>
      <c r="L478" s="11"/>
      <c r="M478" s="12"/>
      <c r="N478" s="12"/>
      <c r="O478" s="12"/>
      <c r="P478" s="12"/>
      <c r="Q478" s="13"/>
    </row>
    <row r="479" spans="5:17" ht="15.75" customHeight="1" x14ac:dyDescent="0.2">
      <c r="E479" s="11"/>
      <c r="F479" s="11"/>
      <c r="G479" s="11"/>
      <c r="H479" s="11"/>
      <c r="I479" s="7"/>
      <c r="J479" s="7"/>
      <c r="K479" s="11"/>
      <c r="L479" s="11"/>
      <c r="M479" s="12"/>
      <c r="N479" s="12"/>
      <c r="O479" s="12"/>
      <c r="P479" s="12"/>
      <c r="Q479" s="13"/>
    </row>
    <row r="480" spans="5:17" ht="15.75" customHeight="1" x14ac:dyDescent="0.2">
      <c r="E480" s="11"/>
      <c r="F480" s="11"/>
      <c r="G480" s="11"/>
      <c r="H480" s="11"/>
      <c r="I480" s="7"/>
      <c r="J480" s="7"/>
      <c r="K480" s="11"/>
      <c r="L480" s="11"/>
      <c r="M480" s="12"/>
      <c r="N480" s="12"/>
      <c r="O480" s="12"/>
      <c r="P480" s="12"/>
      <c r="Q480" s="13"/>
    </row>
    <row r="481" spans="5:17" ht="15.75" customHeight="1" x14ac:dyDescent="0.2">
      <c r="E481" s="11"/>
      <c r="F481" s="11"/>
      <c r="G481" s="11"/>
      <c r="H481" s="11"/>
      <c r="I481" s="7"/>
      <c r="J481" s="7"/>
      <c r="K481" s="11"/>
      <c r="L481" s="11"/>
      <c r="M481" s="12"/>
      <c r="N481" s="12"/>
      <c r="O481" s="12"/>
      <c r="P481" s="12"/>
      <c r="Q481" s="13"/>
    </row>
    <row r="482" spans="5:17" ht="15.75" customHeight="1" x14ac:dyDescent="0.2">
      <c r="E482" s="11"/>
      <c r="F482" s="11"/>
      <c r="G482" s="11"/>
      <c r="H482" s="11"/>
      <c r="I482" s="7"/>
      <c r="J482" s="7"/>
      <c r="K482" s="11"/>
      <c r="L482" s="11"/>
      <c r="M482" s="12"/>
      <c r="N482" s="12"/>
      <c r="O482" s="12"/>
      <c r="P482" s="12"/>
      <c r="Q482" s="13"/>
    </row>
    <row r="483" spans="5:17" ht="15.75" customHeight="1" x14ac:dyDescent="0.2">
      <c r="E483" s="11"/>
      <c r="F483" s="11"/>
      <c r="G483" s="11"/>
      <c r="H483" s="11"/>
      <c r="I483" s="7"/>
      <c r="J483" s="7"/>
      <c r="K483" s="11"/>
      <c r="L483" s="11"/>
      <c r="M483" s="12"/>
      <c r="N483" s="12"/>
      <c r="O483" s="12"/>
      <c r="P483" s="12"/>
      <c r="Q483" s="13"/>
    </row>
    <row r="484" spans="5:17" ht="15.75" customHeight="1" x14ac:dyDescent="0.2">
      <c r="E484" s="11"/>
      <c r="F484" s="11"/>
      <c r="G484" s="11"/>
      <c r="H484" s="11"/>
      <c r="I484" s="7"/>
      <c r="J484" s="7"/>
      <c r="K484" s="11"/>
      <c r="L484" s="11"/>
      <c r="M484" s="12"/>
      <c r="N484" s="12"/>
      <c r="O484" s="12"/>
      <c r="P484" s="12"/>
      <c r="Q484" s="13"/>
    </row>
    <row r="485" spans="5:17" ht="15.75" customHeight="1" x14ac:dyDescent="0.2">
      <c r="E485" s="11"/>
      <c r="F485" s="11"/>
      <c r="G485" s="11"/>
      <c r="H485" s="11"/>
      <c r="I485" s="7"/>
      <c r="J485" s="7"/>
      <c r="K485" s="11"/>
      <c r="L485" s="11"/>
      <c r="M485" s="12"/>
      <c r="N485" s="12"/>
      <c r="O485" s="12"/>
      <c r="P485" s="12"/>
      <c r="Q485" s="13"/>
    </row>
    <row r="486" spans="5:17" ht="15.75" customHeight="1" x14ac:dyDescent="0.2">
      <c r="E486" s="11"/>
      <c r="F486" s="11"/>
      <c r="G486" s="11"/>
      <c r="H486" s="11"/>
      <c r="I486" s="7"/>
      <c r="J486" s="7"/>
      <c r="K486" s="11"/>
      <c r="L486" s="11"/>
      <c r="M486" s="12"/>
      <c r="N486" s="12"/>
      <c r="O486" s="12"/>
      <c r="P486" s="12"/>
      <c r="Q486" s="13"/>
    </row>
    <row r="487" spans="5:17" ht="15.75" customHeight="1" x14ac:dyDescent="0.2">
      <c r="E487" s="11"/>
      <c r="F487" s="11"/>
      <c r="G487" s="11"/>
      <c r="H487" s="11"/>
      <c r="I487" s="7"/>
      <c r="J487" s="7"/>
      <c r="K487" s="11"/>
      <c r="L487" s="11"/>
      <c r="M487" s="12"/>
      <c r="N487" s="12"/>
      <c r="O487" s="12"/>
      <c r="P487" s="12"/>
      <c r="Q487" s="13"/>
    </row>
    <row r="488" spans="5:17" ht="15.75" customHeight="1" x14ac:dyDescent="0.2">
      <c r="E488" s="11"/>
      <c r="F488" s="11"/>
      <c r="G488" s="11"/>
      <c r="H488" s="11"/>
      <c r="I488" s="7"/>
      <c r="J488" s="7"/>
      <c r="K488" s="11"/>
      <c r="L488" s="11"/>
      <c r="M488" s="12"/>
      <c r="N488" s="12"/>
      <c r="O488" s="12"/>
      <c r="P488" s="12"/>
      <c r="Q488" s="13"/>
    </row>
    <row r="489" spans="5:17" ht="15.75" customHeight="1" x14ac:dyDescent="0.2">
      <c r="E489" s="11"/>
      <c r="F489" s="11"/>
      <c r="G489" s="11"/>
      <c r="H489" s="11"/>
      <c r="I489" s="7"/>
      <c r="J489" s="7"/>
      <c r="K489" s="11"/>
      <c r="L489" s="11"/>
      <c r="M489" s="12"/>
      <c r="N489" s="12"/>
      <c r="O489" s="12"/>
      <c r="P489" s="12"/>
      <c r="Q489" s="13"/>
    </row>
    <row r="490" spans="5:17" ht="15.75" customHeight="1" x14ac:dyDescent="0.2">
      <c r="E490" s="11"/>
      <c r="F490" s="11"/>
      <c r="G490" s="11"/>
      <c r="H490" s="11"/>
      <c r="I490" s="7"/>
      <c r="J490" s="7"/>
      <c r="K490" s="11"/>
      <c r="L490" s="11"/>
      <c r="M490" s="12"/>
      <c r="N490" s="12"/>
      <c r="O490" s="12"/>
      <c r="P490" s="12"/>
      <c r="Q490" s="13"/>
    </row>
    <row r="491" spans="5:17" ht="15.75" customHeight="1" x14ac:dyDescent="0.2">
      <c r="E491" s="11"/>
      <c r="F491" s="11"/>
      <c r="G491" s="11"/>
      <c r="H491" s="11"/>
      <c r="I491" s="7"/>
      <c r="J491" s="7"/>
      <c r="K491" s="11"/>
      <c r="L491" s="11"/>
      <c r="M491" s="12"/>
      <c r="N491" s="12"/>
      <c r="O491" s="12"/>
      <c r="P491" s="12"/>
      <c r="Q491" s="13"/>
    </row>
    <row r="492" spans="5:17" ht="15.75" customHeight="1" x14ac:dyDescent="0.2">
      <c r="E492" s="11"/>
      <c r="F492" s="11"/>
      <c r="G492" s="11"/>
      <c r="H492" s="11"/>
      <c r="I492" s="7"/>
      <c r="J492" s="7"/>
      <c r="K492" s="11"/>
      <c r="L492" s="11"/>
      <c r="M492" s="12"/>
      <c r="N492" s="12"/>
      <c r="O492" s="12"/>
      <c r="P492" s="12"/>
      <c r="Q492" s="13"/>
    </row>
    <row r="493" spans="5:17" ht="15.75" customHeight="1" x14ac:dyDescent="0.2">
      <c r="E493" s="11"/>
      <c r="F493" s="11"/>
      <c r="G493" s="11"/>
      <c r="H493" s="11"/>
      <c r="I493" s="7"/>
      <c r="J493" s="7"/>
      <c r="K493" s="11"/>
      <c r="L493" s="11"/>
      <c r="M493" s="12"/>
      <c r="N493" s="12"/>
      <c r="O493" s="12"/>
      <c r="P493" s="12"/>
      <c r="Q493" s="13"/>
    </row>
    <row r="494" spans="5:17" ht="15.75" customHeight="1" x14ac:dyDescent="0.2">
      <c r="E494" s="11"/>
      <c r="F494" s="11"/>
      <c r="G494" s="11"/>
      <c r="H494" s="11"/>
      <c r="I494" s="7"/>
      <c r="J494" s="7"/>
      <c r="K494" s="11"/>
      <c r="L494" s="11"/>
      <c r="M494" s="12"/>
      <c r="N494" s="12"/>
      <c r="O494" s="12"/>
      <c r="P494" s="12"/>
      <c r="Q494" s="13"/>
    </row>
    <row r="495" spans="5:17" ht="15.75" customHeight="1" x14ac:dyDescent="0.2">
      <c r="E495" s="11"/>
      <c r="F495" s="11"/>
      <c r="G495" s="11"/>
      <c r="H495" s="11"/>
      <c r="I495" s="7"/>
      <c r="J495" s="7"/>
      <c r="K495" s="11"/>
      <c r="L495" s="11"/>
      <c r="M495" s="12"/>
      <c r="N495" s="12"/>
      <c r="O495" s="12"/>
      <c r="P495" s="12"/>
      <c r="Q495" s="13"/>
    </row>
    <row r="496" spans="5:17" ht="15.75" customHeight="1" x14ac:dyDescent="0.2">
      <c r="E496" s="11"/>
      <c r="F496" s="11"/>
      <c r="G496" s="11"/>
      <c r="H496" s="11"/>
      <c r="I496" s="7"/>
      <c r="J496" s="7"/>
      <c r="K496" s="11"/>
      <c r="L496" s="11"/>
      <c r="M496" s="12"/>
      <c r="N496" s="12"/>
      <c r="O496" s="12"/>
      <c r="P496" s="12"/>
      <c r="Q496" s="13"/>
    </row>
    <row r="497" spans="5:17" ht="15.75" customHeight="1" x14ac:dyDescent="0.2">
      <c r="E497" s="11"/>
      <c r="F497" s="11"/>
      <c r="G497" s="11"/>
      <c r="H497" s="11"/>
      <c r="I497" s="7"/>
      <c r="J497" s="7"/>
      <c r="K497" s="11"/>
      <c r="L497" s="11"/>
      <c r="M497" s="12"/>
      <c r="N497" s="12"/>
      <c r="O497" s="12"/>
      <c r="P497" s="12"/>
      <c r="Q497" s="13"/>
    </row>
    <row r="498" spans="5:17" ht="15.75" customHeight="1" x14ac:dyDescent="0.2">
      <c r="E498" s="11"/>
      <c r="F498" s="11"/>
      <c r="G498" s="11"/>
      <c r="H498" s="11"/>
      <c r="I498" s="7"/>
      <c r="J498" s="7"/>
      <c r="K498" s="11"/>
      <c r="L498" s="11"/>
      <c r="M498" s="12"/>
      <c r="N498" s="12"/>
      <c r="O498" s="12"/>
      <c r="P498" s="12"/>
      <c r="Q498" s="13"/>
    </row>
    <row r="499" spans="5:17" ht="15.75" customHeight="1" x14ac:dyDescent="0.2">
      <c r="E499" s="11"/>
      <c r="F499" s="11"/>
      <c r="G499" s="11"/>
      <c r="H499" s="11"/>
      <c r="I499" s="7"/>
      <c r="J499" s="7"/>
      <c r="K499" s="11"/>
      <c r="L499" s="11"/>
      <c r="M499" s="12"/>
      <c r="N499" s="12"/>
      <c r="O499" s="12"/>
      <c r="P499" s="12"/>
      <c r="Q499" s="13"/>
    </row>
    <row r="500" spans="5:17" ht="15.75" customHeight="1" x14ac:dyDescent="0.2">
      <c r="E500" s="11"/>
      <c r="F500" s="11"/>
      <c r="G500" s="11"/>
      <c r="H500" s="11"/>
      <c r="I500" s="7"/>
      <c r="J500" s="7"/>
      <c r="K500" s="11"/>
      <c r="L500" s="11"/>
      <c r="M500" s="12"/>
      <c r="N500" s="12"/>
      <c r="O500" s="12"/>
      <c r="P500" s="12"/>
      <c r="Q500" s="13"/>
    </row>
    <row r="501" spans="5:17" ht="15.75" customHeight="1" x14ac:dyDescent="0.2">
      <c r="E501" s="11"/>
      <c r="F501" s="11"/>
      <c r="G501" s="11"/>
      <c r="H501" s="11"/>
      <c r="I501" s="7"/>
      <c r="J501" s="7"/>
      <c r="K501" s="11"/>
      <c r="L501" s="11"/>
      <c r="M501" s="12"/>
      <c r="N501" s="12"/>
      <c r="O501" s="12"/>
      <c r="P501" s="12"/>
      <c r="Q501" s="13"/>
    </row>
    <row r="502" spans="5:17" ht="15.75" customHeight="1" x14ac:dyDescent="0.2">
      <c r="E502" s="11"/>
      <c r="F502" s="11"/>
      <c r="G502" s="11"/>
      <c r="H502" s="11"/>
      <c r="I502" s="7"/>
      <c r="J502" s="7"/>
      <c r="K502" s="11"/>
      <c r="L502" s="11"/>
      <c r="M502" s="12"/>
      <c r="N502" s="12"/>
      <c r="O502" s="12"/>
      <c r="P502" s="12"/>
      <c r="Q502" s="13"/>
    </row>
    <row r="503" spans="5:17" ht="15.75" customHeight="1" x14ac:dyDescent="0.2">
      <c r="E503" s="11"/>
      <c r="F503" s="11"/>
      <c r="G503" s="11"/>
      <c r="H503" s="11"/>
      <c r="I503" s="7"/>
      <c r="J503" s="7"/>
      <c r="K503" s="11"/>
      <c r="L503" s="11"/>
      <c r="M503" s="12"/>
      <c r="N503" s="12"/>
      <c r="O503" s="12"/>
      <c r="P503" s="12"/>
      <c r="Q503" s="13"/>
    </row>
    <row r="504" spans="5:17" ht="15.75" customHeight="1" x14ac:dyDescent="0.2">
      <c r="E504" s="11"/>
      <c r="F504" s="11"/>
      <c r="G504" s="11"/>
      <c r="H504" s="11"/>
      <c r="I504" s="7"/>
      <c r="J504" s="7"/>
      <c r="K504" s="11"/>
      <c r="L504" s="11"/>
      <c r="M504" s="12"/>
      <c r="N504" s="12"/>
      <c r="O504" s="12"/>
      <c r="P504" s="12"/>
      <c r="Q504" s="13"/>
    </row>
    <row r="505" spans="5:17" ht="15.75" customHeight="1" x14ac:dyDescent="0.2">
      <c r="E505" s="11"/>
      <c r="F505" s="11"/>
      <c r="G505" s="11"/>
      <c r="H505" s="11"/>
      <c r="I505" s="7"/>
      <c r="J505" s="7"/>
      <c r="K505" s="11"/>
      <c r="L505" s="11"/>
      <c r="M505" s="12"/>
      <c r="N505" s="12"/>
      <c r="O505" s="12"/>
      <c r="P505" s="12"/>
      <c r="Q505" s="13"/>
    </row>
    <row r="506" spans="5:17" ht="15.75" customHeight="1" x14ac:dyDescent="0.2">
      <c r="E506" s="11"/>
      <c r="F506" s="11"/>
      <c r="G506" s="11"/>
      <c r="H506" s="11"/>
      <c r="I506" s="7"/>
      <c r="J506" s="7"/>
      <c r="K506" s="11"/>
      <c r="L506" s="11"/>
      <c r="M506" s="12"/>
      <c r="N506" s="12"/>
      <c r="O506" s="12"/>
      <c r="P506" s="12"/>
      <c r="Q506" s="13"/>
    </row>
    <row r="507" spans="5:17" ht="15.75" customHeight="1" x14ac:dyDescent="0.2">
      <c r="E507" s="11"/>
      <c r="F507" s="11"/>
      <c r="G507" s="11"/>
      <c r="H507" s="11"/>
      <c r="I507" s="7"/>
      <c r="J507" s="7"/>
      <c r="K507" s="11"/>
      <c r="L507" s="11"/>
      <c r="M507" s="12"/>
      <c r="N507" s="12"/>
      <c r="O507" s="12"/>
      <c r="P507" s="12"/>
      <c r="Q507" s="13"/>
    </row>
    <row r="508" spans="5:17" ht="15.75" customHeight="1" x14ac:dyDescent="0.2">
      <c r="E508" s="11"/>
      <c r="F508" s="11"/>
      <c r="G508" s="11"/>
      <c r="H508" s="11"/>
      <c r="I508" s="7"/>
      <c r="J508" s="7"/>
      <c r="K508" s="11"/>
      <c r="L508" s="11"/>
      <c r="M508" s="12"/>
      <c r="N508" s="12"/>
      <c r="O508" s="12"/>
      <c r="P508" s="12"/>
      <c r="Q508" s="13"/>
    </row>
    <row r="509" spans="5:17" ht="15.75" customHeight="1" x14ac:dyDescent="0.2">
      <c r="E509" s="11"/>
      <c r="F509" s="11"/>
      <c r="G509" s="11"/>
      <c r="H509" s="11"/>
      <c r="I509" s="7"/>
      <c r="J509" s="7"/>
      <c r="K509" s="11"/>
      <c r="L509" s="11"/>
      <c r="M509" s="12"/>
      <c r="N509" s="12"/>
      <c r="O509" s="12"/>
      <c r="P509" s="12"/>
      <c r="Q509" s="13"/>
    </row>
    <row r="510" spans="5:17" ht="15.75" customHeight="1" x14ac:dyDescent="0.2">
      <c r="E510" s="11"/>
      <c r="F510" s="11"/>
      <c r="G510" s="11"/>
      <c r="H510" s="11"/>
      <c r="I510" s="7"/>
      <c r="J510" s="7"/>
      <c r="K510" s="11"/>
      <c r="L510" s="11"/>
      <c r="M510" s="12"/>
      <c r="N510" s="12"/>
      <c r="O510" s="12"/>
      <c r="P510" s="12"/>
      <c r="Q510" s="13"/>
    </row>
    <row r="511" spans="5:17" ht="15.75" customHeight="1" x14ac:dyDescent="0.2">
      <c r="E511" s="11"/>
      <c r="F511" s="11"/>
      <c r="G511" s="11"/>
      <c r="H511" s="11"/>
      <c r="I511" s="7"/>
      <c r="J511" s="7"/>
      <c r="K511" s="11"/>
      <c r="L511" s="11"/>
      <c r="M511" s="12"/>
      <c r="N511" s="12"/>
      <c r="O511" s="12"/>
      <c r="P511" s="12"/>
      <c r="Q511" s="13"/>
    </row>
    <row r="512" spans="5:17" ht="15.75" customHeight="1" x14ac:dyDescent="0.2">
      <c r="E512" s="11"/>
      <c r="F512" s="11"/>
      <c r="G512" s="11"/>
      <c r="H512" s="11"/>
      <c r="I512" s="7"/>
      <c r="J512" s="7"/>
      <c r="K512" s="11"/>
      <c r="L512" s="11"/>
      <c r="M512" s="12"/>
      <c r="N512" s="12"/>
      <c r="O512" s="12"/>
      <c r="P512" s="12"/>
      <c r="Q512" s="13"/>
    </row>
    <row r="513" spans="5:17" ht="15.75" customHeight="1" x14ac:dyDescent="0.2">
      <c r="E513" s="11"/>
      <c r="F513" s="11"/>
      <c r="G513" s="11"/>
      <c r="H513" s="11"/>
      <c r="I513" s="7"/>
      <c r="J513" s="7"/>
      <c r="K513" s="11"/>
      <c r="L513" s="11"/>
      <c r="M513" s="12"/>
      <c r="N513" s="12"/>
      <c r="O513" s="12"/>
      <c r="P513" s="12"/>
      <c r="Q513" s="13"/>
    </row>
    <row r="514" spans="5:17" ht="15.75" customHeight="1" x14ac:dyDescent="0.2">
      <c r="I514" s="14"/>
      <c r="J514" s="14"/>
      <c r="M514" s="12"/>
      <c r="N514" s="12"/>
      <c r="O514" s="12"/>
      <c r="P514" s="12"/>
      <c r="Q514" s="13"/>
    </row>
    <row r="515" spans="5:17" ht="15.75" customHeight="1" x14ac:dyDescent="0.2">
      <c r="I515" s="14"/>
      <c r="J515" s="14"/>
      <c r="M515" s="12"/>
      <c r="N515" s="12"/>
      <c r="O515" s="12"/>
      <c r="P515" s="12"/>
      <c r="Q515" s="13"/>
    </row>
    <row r="516" spans="5:17" ht="15.75" customHeight="1" x14ac:dyDescent="0.2">
      <c r="I516" s="14"/>
      <c r="J516" s="14"/>
      <c r="M516" s="12"/>
      <c r="N516" s="12"/>
      <c r="O516" s="12"/>
      <c r="P516" s="12"/>
      <c r="Q516" s="13"/>
    </row>
    <row r="517" spans="5:17" ht="15.75" customHeight="1" x14ac:dyDescent="0.2">
      <c r="I517" s="14"/>
      <c r="J517" s="14"/>
      <c r="M517" s="12"/>
      <c r="N517" s="12"/>
      <c r="O517" s="12"/>
      <c r="P517" s="12"/>
      <c r="Q517" s="13"/>
    </row>
    <row r="518" spans="5:17" ht="15.75" customHeight="1" x14ac:dyDescent="0.2">
      <c r="I518" s="14"/>
      <c r="J518" s="14"/>
      <c r="M518" s="12"/>
      <c r="N518" s="12"/>
      <c r="O518" s="12"/>
      <c r="P518" s="12"/>
      <c r="Q518" s="13"/>
    </row>
    <row r="519" spans="5:17" ht="15.75" customHeight="1" x14ac:dyDescent="0.2">
      <c r="I519" s="14"/>
      <c r="J519" s="14"/>
      <c r="M519" s="12"/>
      <c r="N519" s="12"/>
      <c r="O519" s="12"/>
      <c r="P519" s="12"/>
      <c r="Q519" s="13"/>
    </row>
    <row r="520" spans="5:17" ht="15.75" customHeight="1" x14ac:dyDescent="0.2">
      <c r="I520" s="14"/>
      <c r="J520" s="14"/>
      <c r="M520" s="12"/>
      <c r="N520" s="12"/>
      <c r="O520" s="12"/>
      <c r="P520" s="12"/>
      <c r="Q520" s="13"/>
    </row>
    <row r="521" spans="5:17" ht="15.75" customHeight="1" x14ac:dyDescent="0.2">
      <c r="I521" s="14"/>
      <c r="J521" s="14"/>
      <c r="M521" s="12"/>
      <c r="N521" s="12"/>
      <c r="O521" s="12"/>
      <c r="P521" s="12"/>
      <c r="Q521" s="13"/>
    </row>
    <row r="522" spans="5:17" ht="15.75" customHeight="1" x14ac:dyDescent="0.2">
      <c r="I522" s="14"/>
      <c r="J522" s="14"/>
      <c r="M522" s="12"/>
      <c r="N522" s="12"/>
      <c r="O522" s="12"/>
      <c r="P522" s="12"/>
      <c r="Q522" s="13"/>
    </row>
    <row r="523" spans="5:17" ht="15.75" customHeight="1" x14ac:dyDescent="0.2">
      <c r="I523" s="14"/>
      <c r="J523" s="14"/>
      <c r="M523" s="12"/>
      <c r="N523" s="12"/>
      <c r="O523" s="12"/>
      <c r="P523" s="12"/>
      <c r="Q523" s="13"/>
    </row>
    <row r="524" spans="5:17" ht="15.75" customHeight="1" x14ac:dyDescent="0.2">
      <c r="I524" s="14"/>
      <c r="J524" s="14"/>
      <c r="M524" s="12"/>
      <c r="N524" s="12"/>
      <c r="O524" s="12"/>
      <c r="P524" s="12"/>
      <c r="Q524" s="13"/>
    </row>
    <row r="525" spans="5:17" ht="15.75" customHeight="1" x14ac:dyDescent="0.2">
      <c r="I525" s="14"/>
      <c r="J525" s="14"/>
      <c r="M525" s="12"/>
      <c r="N525" s="12"/>
      <c r="O525" s="12"/>
      <c r="P525" s="12"/>
      <c r="Q525" s="13"/>
    </row>
    <row r="526" spans="5:17" ht="15.75" customHeight="1" x14ac:dyDescent="0.2">
      <c r="I526" s="14"/>
      <c r="J526" s="14"/>
      <c r="M526" s="12"/>
      <c r="N526" s="12"/>
      <c r="O526" s="12"/>
      <c r="P526" s="12"/>
      <c r="Q526" s="13"/>
    </row>
    <row r="527" spans="5:17" ht="15.75" customHeight="1" x14ac:dyDescent="0.2">
      <c r="I527" s="14"/>
      <c r="J527" s="14"/>
      <c r="M527" s="12"/>
      <c r="N527" s="12"/>
      <c r="O527" s="12"/>
      <c r="P527" s="12"/>
      <c r="Q527" s="13"/>
    </row>
    <row r="528" spans="5:17" ht="15.75" customHeight="1" x14ac:dyDescent="0.2">
      <c r="I528" s="14"/>
      <c r="J528" s="14"/>
      <c r="M528" s="12"/>
      <c r="N528" s="12"/>
      <c r="O528" s="12"/>
      <c r="P528" s="12"/>
      <c r="Q528" s="13"/>
    </row>
    <row r="529" spans="9:17" ht="15.75" customHeight="1" x14ac:dyDescent="0.2">
      <c r="I529" s="14"/>
      <c r="J529" s="14"/>
      <c r="M529" s="12"/>
      <c r="N529" s="12"/>
      <c r="O529" s="12"/>
      <c r="P529" s="12"/>
      <c r="Q529" s="13"/>
    </row>
    <row r="530" spans="9:17" ht="15.75" customHeight="1" x14ac:dyDescent="0.2">
      <c r="I530" s="14"/>
      <c r="J530" s="14"/>
      <c r="M530" s="12"/>
      <c r="N530" s="12"/>
      <c r="O530" s="12"/>
      <c r="P530" s="12"/>
      <c r="Q530" s="13"/>
    </row>
    <row r="531" spans="9:17" ht="15.75" customHeight="1" x14ac:dyDescent="0.2">
      <c r="I531" s="14"/>
      <c r="J531" s="14"/>
      <c r="M531" s="12"/>
      <c r="N531" s="12"/>
      <c r="O531" s="12"/>
      <c r="P531" s="12"/>
      <c r="Q531" s="13"/>
    </row>
    <row r="532" spans="9:17" ht="15.75" customHeight="1" x14ac:dyDescent="0.2">
      <c r="I532" s="14"/>
      <c r="J532" s="14"/>
      <c r="M532" s="12"/>
      <c r="N532" s="12"/>
      <c r="O532" s="12"/>
      <c r="P532" s="12"/>
      <c r="Q532" s="13"/>
    </row>
    <row r="533" spans="9:17" ht="15.75" customHeight="1" x14ac:dyDescent="0.2">
      <c r="I533" s="14"/>
      <c r="J533" s="14"/>
      <c r="M533" s="12"/>
      <c r="N533" s="12"/>
      <c r="O533" s="12"/>
      <c r="P533" s="12"/>
      <c r="Q533" s="13"/>
    </row>
    <row r="534" spans="9:17" ht="15.75" customHeight="1" x14ac:dyDescent="0.2">
      <c r="I534" s="14"/>
      <c r="J534" s="14"/>
      <c r="M534" s="12"/>
      <c r="N534" s="12"/>
      <c r="O534" s="12"/>
      <c r="P534" s="12"/>
      <c r="Q534" s="13"/>
    </row>
    <row r="535" spans="9:17" ht="15.75" customHeight="1" x14ac:dyDescent="0.2">
      <c r="I535" s="14"/>
      <c r="J535" s="14"/>
      <c r="M535" s="12"/>
      <c r="N535" s="12"/>
      <c r="O535" s="12"/>
      <c r="P535" s="12"/>
      <c r="Q535" s="13"/>
    </row>
    <row r="536" spans="9:17" ht="15.75" customHeight="1" x14ac:dyDescent="0.2">
      <c r="I536" s="14"/>
      <c r="J536" s="14"/>
      <c r="M536" s="12"/>
      <c r="N536" s="12"/>
      <c r="O536" s="12"/>
      <c r="P536" s="12"/>
      <c r="Q536" s="13"/>
    </row>
    <row r="537" spans="9:17" ht="15.75" customHeight="1" x14ac:dyDescent="0.2">
      <c r="I537" s="14"/>
      <c r="J537" s="14"/>
      <c r="M537" s="12"/>
      <c r="N537" s="12"/>
      <c r="O537" s="12"/>
      <c r="P537" s="12"/>
      <c r="Q537" s="13"/>
    </row>
    <row r="538" spans="9:17" ht="15.75" customHeight="1" x14ac:dyDescent="0.2">
      <c r="I538" s="14"/>
      <c r="J538" s="14"/>
      <c r="M538" s="12"/>
      <c r="N538" s="12"/>
      <c r="O538" s="12"/>
      <c r="P538" s="12"/>
      <c r="Q538" s="13"/>
    </row>
    <row r="539" spans="9:17" ht="15.75" customHeight="1" x14ac:dyDescent="0.2">
      <c r="I539" s="14"/>
      <c r="J539" s="14"/>
      <c r="M539" s="12"/>
      <c r="N539" s="12"/>
      <c r="O539" s="12"/>
      <c r="P539" s="12"/>
      <c r="Q539" s="13"/>
    </row>
    <row r="540" spans="9:17" ht="15.75" customHeight="1" x14ac:dyDescent="0.2">
      <c r="I540" s="14"/>
      <c r="J540" s="14"/>
      <c r="M540" s="12"/>
      <c r="N540" s="12"/>
      <c r="O540" s="12"/>
      <c r="P540" s="12"/>
      <c r="Q540" s="13"/>
    </row>
    <row r="541" spans="9:17" ht="15.75" customHeight="1" x14ac:dyDescent="0.2">
      <c r="I541" s="14"/>
      <c r="J541" s="14"/>
      <c r="M541" s="12"/>
      <c r="N541" s="12"/>
      <c r="O541" s="12"/>
      <c r="P541" s="12"/>
      <c r="Q541" s="13"/>
    </row>
    <row r="542" spans="9:17" ht="15.75" customHeight="1" x14ac:dyDescent="0.2">
      <c r="I542" s="14"/>
      <c r="J542" s="14"/>
      <c r="M542" s="12"/>
      <c r="N542" s="12"/>
      <c r="O542" s="12"/>
      <c r="P542" s="12"/>
      <c r="Q542" s="13"/>
    </row>
    <row r="543" spans="9:17" ht="15.75" customHeight="1" x14ac:dyDescent="0.2">
      <c r="I543" s="14"/>
      <c r="J543" s="14"/>
      <c r="M543" s="12"/>
      <c r="N543" s="12"/>
      <c r="O543" s="12"/>
      <c r="P543" s="12"/>
      <c r="Q543" s="13"/>
    </row>
    <row r="544" spans="9:17" ht="15.75" customHeight="1" x14ac:dyDescent="0.2">
      <c r="I544" s="14"/>
      <c r="J544" s="14"/>
      <c r="M544" s="12"/>
      <c r="N544" s="12"/>
      <c r="O544" s="12"/>
      <c r="P544" s="12"/>
      <c r="Q544" s="13"/>
    </row>
    <row r="545" spans="9:17" ht="15.75" customHeight="1" x14ac:dyDescent="0.2">
      <c r="I545" s="14"/>
      <c r="J545" s="14"/>
      <c r="M545" s="12"/>
      <c r="N545" s="12"/>
      <c r="O545" s="12"/>
      <c r="P545" s="12"/>
      <c r="Q545" s="13"/>
    </row>
    <row r="546" spans="9:17" ht="15.75" customHeight="1" x14ac:dyDescent="0.2">
      <c r="I546" s="14"/>
      <c r="J546" s="14"/>
      <c r="M546" s="12"/>
      <c r="N546" s="12"/>
      <c r="O546" s="12"/>
      <c r="P546" s="12"/>
      <c r="Q546" s="13"/>
    </row>
    <row r="547" spans="9:17" ht="15.75" customHeight="1" x14ac:dyDescent="0.2">
      <c r="I547" s="14"/>
      <c r="J547" s="14"/>
      <c r="M547" s="12"/>
      <c r="N547" s="12"/>
      <c r="O547" s="12"/>
      <c r="P547" s="12"/>
      <c r="Q547" s="13"/>
    </row>
    <row r="548" spans="9:17" ht="15.75" customHeight="1" x14ac:dyDescent="0.2">
      <c r="I548" s="14"/>
      <c r="J548" s="14"/>
      <c r="M548" s="12"/>
      <c r="N548" s="12"/>
      <c r="O548" s="12"/>
      <c r="P548" s="12"/>
      <c r="Q548" s="13"/>
    </row>
    <row r="549" spans="9:17" ht="15.75" customHeight="1" x14ac:dyDescent="0.2">
      <c r="I549" s="14"/>
      <c r="J549" s="14"/>
      <c r="M549" s="12"/>
      <c r="N549" s="12"/>
      <c r="O549" s="12"/>
      <c r="P549" s="12"/>
      <c r="Q549" s="13"/>
    </row>
    <row r="550" spans="9:17" ht="15.75" customHeight="1" x14ac:dyDescent="0.2">
      <c r="I550" s="14"/>
      <c r="J550" s="14"/>
      <c r="M550" s="12"/>
      <c r="N550" s="12"/>
      <c r="O550" s="12"/>
      <c r="P550" s="12"/>
      <c r="Q550" s="13"/>
    </row>
    <row r="551" spans="9:17" ht="15.75" customHeight="1" x14ac:dyDescent="0.2">
      <c r="I551" s="14"/>
      <c r="J551" s="14"/>
      <c r="M551" s="12"/>
      <c r="N551" s="12"/>
      <c r="O551" s="12"/>
      <c r="P551" s="12"/>
      <c r="Q551" s="13"/>
    </row>
    <row r="552" spans="9:17" ht="15.75" customHeight="1" x14ac:dyDescent="0.2">
      <c r="I552" s="14"/>
      <c r="J552" s="14"/>
      <c r="M552" s="12"/>
      <c r="N552" s="12"/>
      <c r="O552" s="12"/>
      <c r="P552" s="12"/>
      <c r="Q552" s="13"/>
    </row>
    <row r="553" spans="9:17" ht="15.75" customHeight="1" x14ac:dyDescent="0.2">
      <c r="I553" s="14"/>
      <c r="J553" s="14"/>
      <c r="M553" s="12"/>
      <c r="N553" s="12"/>
      <c r="O553" s="12"/>
      <c r="P553" s="12"/>
      <c r="Q553" s="13"/>
    </row>
    <row r="554" spans="9:17" ht="15.75" customHeight="1" x14ac:dyDescent="0.2">
      <c r="I554" s="14"/>
      <c r="J554" s="14"/>
      <c r="M554" s="12"/>
      <c r="N554" s="12"/>
      <c r="O554" s="12"/>
      <c r="P554" s="12"/>
      <c r="Q554" s="13"/>
    </row>
    <row r="555" spans="9:17" ht="15.75" customHeight="1" x14ac:dyDescent="0.2">
      <c r="I555" s="14"/>
      <c r="J555" s="14"/>
      <c r="M555" s="12"/>
      <c r="N555" s="12"/>
      <c r="O555" s="12"/>
      <c r="P555" s="12"/>
      <c r="Q555" s="13"/>
    </row>
    <row r="556" spans="9:17" ht="15.75" customHeight="1" x14ac:dyDescent="0.2">
      <c r="I556" s="14"/>
      <c r="J556" s="14"/>
      <c r="M556" s="12"/>
      <c r="N556" s="12"/>
      <c r="O556" s="12"/>
      <c r="P556" s="12"/>
      <c r="Q556" s="13"/>
    </row>
    <row r="557" spans="9:17" ht="15.75" customHeight="1" x14ac:dyDescent="0.2">
      <c r="I557" s="14"/>
      <c r="J557" s="14"/>
      <c r="M557" s="12"/>
      <c r="N557" s="12"/>
      <c r="O557" s="12"/>
      <c r="P557" s="12"/>
      <c r="Q557" s="13"/>
    </row>
    <row r="558" spans="9:17" ht="15.75" customHeight="1" x14ac:dyDescent="0.2">
      <c r="I558" s="14"/>
      <c r="J558" s="14"/>
      <c r="M558" s="12"/>
      <c r="N558" s="12"/>
      <c r="O558" s="12"/>
      <c r="P558" s="12"/>
      <c r="Q558" s="13"/>
    </row>
    <row r="559" spans="9:17" ht="15.75" customHeight="1" x14ac:dyDescent="0.2">
      <c r="I559" s="14"/>
      <c r="J559" s="14"/>
      <c r="M559" s="12"/>
      <c r="N559" s="12"/>
      <c r="O559" s="12"/>
      <c r="P559" s="12"/>
      <c r="Q559" s="13"/>
    </row>
    <row r="560" spans="9:17" ht="15.75" customHeight="1" x14ac:dyDescent="0.2">
      <c r="I560" s="14"/>
      <c r="J560" s="14"/>
      <c r="M560" s="12"/>
      <c r="N560" s="12"/>
      <c r="O560" s="12"/>
      <c r="P560" s="12"/>
      <c r="Q560" s="13"/>
    </row>
    <row r="561" spans="9:17" ht="15.75" customHeight="1" x14ac:dyDescent="0.2">
      <c r="I561" s="14"/>
      <c r="J561" s="14"/>
      <c r="M561" s="12"/>
      <c r="N561" s="12"/>
      <c r="O561" s="12"/>
      <c r="P561" s="12"/>
      <c r="Q561" s="13"/>
    </row>
    <row r="562" spans="9:17" ht="15.75" customHeight="1" x14ac:dyDescent="0.2">
      <c r="I562" s="14"/>
      <c r="J562" s="14"/>
      <c r="M562" s="12"/>
      <c r="N562" s="12"/>
      <c r="O562" s="12"/>
      <c r="P562" s="12"/>
      <c r="Q562" s="13"/>
    </row>
    <row r="563" spans="9:17" ht="15.75" customHeight="1" x14ac:dyDescent="0.2">
      <c r="I563" s="14"/>
      <c r="J563" s="14"/>
      <c r="M563" s="12"/>
      <c r="N563" s="12"/>
      <c r="O563" s="12"/>
      <c r="P563" s="12"/>
      <c r="Q563" s="13"/>
    </row>
    <row r="564" spans="9:17" ht="15.75" customHeight="1" x14ac:dyDescent="0.2">
      <c r="I564" s="14"/>
      <c r="J564" s="14"/>
      <c r="M564" s="12"/>
      <c r="N564" s="12"/>
      <c r="O564" s="12"/>
      <c r="P564" s="12"/>
      <c r="Q564" s="13"/>
    </row>
    <row r="565" spans="9:17" ht="15.75" customHeight="1" x14ac:dyDescent="0.2">
      <c r="I565" s="14"/>
      <c r="J565" s="14"/>
      <c r="M565" s="12"/>
      <c r="N565" s="12"/>
      <c r="O565" s="12"/>
      <c r="P565" s="12"/>
      <c r="Q565" s="13"/>
    </row>
    <row r="566" spans="9:17" ht="15.75" customHeight="1" x14ac:dyDescent="0.2">
      <c r="I566" s="14"/>
      <c r="J566" s="14"/>
      <c r="M566" s="12"/>
      <c r="N566" s="12"/>
      <c r="O566" s="12"/>
      <c r="P566" s="12"/>
      <c r="Q566" s="13"/>
    </row>
    <row r="567" spans="9:17" ht="15.75" customHeight="1" x14ac:dyDescent="0.2">
      <c r="I567" s="14"/>
      <c r="J567" s="14"/>
      <c r="M567" s="12"/>
      <c r="N567" s="12"/>
      <c r="O567" s="12"/>
      <c r="P567" s="12"/>
      <c r="Q567" s="13"/>
    </row>
    <row r="568" spans="9:17" ht="15.75" customHeight="1" x14ac:dyDescent="0.2">
      <c r="I568" s="14"/>
      <c r="J568" s="14"/>
      <c r="M568" s="12"/>
      <c r="N568" s="12"/>
      <c r="O568" s="12"/>
      <c r="P568" s="12"/>
      <c r="Q568" s="13"/>
    </row>
    <row r="569" spans="9:17" ht="15.75" customHeight="1" x14ac:dyDescent="0.2">
      <c r="I569" s="14"/>
      <c r="J569" s="14"/>
      <c r="M569" s="12"/>
      <c r="N569" s="12"/>
      <c r="O569" s="12"/>
      <c r="P569" s="12"/>
      <c r="Q569" s="13"/>
    </row>
    <row r="570" spans="9:17" ht="15.75" customHeight="1" x14ac:dyDescent="0.2">
      <c r="I570" s="14"/>
      <c r="J570" s="14"/>
      <c r="M570" s="12"/>
      <c r="N570" s="12"/>
      <c r="O570" s="12"/>
      <c r="P570" s="12"/>
      <c r="Q570" s="13"/>
    </row>
    <row r="571" spans="9:17" ht="15.75" customHeight="1" x14ac:dyDescent="0.2">
      <c r="I571" s="14"/>
      <c r="J571" s="14"/>
      <c r="M571" s="12"/>
      <c r="N571" s="12"/>
      <c r="O571" s="12"/>
      <c r="P571" s="12"/>
      <c r="Q571" s="13"/>
    </row>
    <row r="572" spans="9:17" ht="15.75" customHeight="1" x14ac:dyDescent="0.2">
      <c r="I572" s="14"/>
      <c r="J572" s="14"/>
      <c r="M572" s="12"/>
      <c r="N572" s="12"/>
      <c r="O572" s="12"/>
      <c r="P572" s="12"/>
      <c r="Q572" s="13"/>
    </row>
    <row r="573" spans="9:17" ht="15.75" customHeight="1" x14ac:dyDescent="0.2">
      <c r="I573" s="14"/>
      <c r="J573" s="14"/>
      <c r="M573" s="12"/>
      <c r="N573" s="12"/>
      <c r="O573" s="12"/>
      <c r="P573" s="12"/>
      <c r="Q573" s="13"/>
    </row>
    <row r="574" spans="9:17" ht="15.75" customHeight="1" x14ac:dyDescent="0.2">
      <c r="I574" s="14"/>
      <c r="J574" s="14"/>
      <c r="M574" s="12"/>
      <c r="N574" s="12"/>
      <c r="O574" s="12"/>
      <c r="P574" s="12"/>
      <c r="Q574" s="13"/>
    </row>
    <row r="575" spans="9:17" ht="15.75" customHeight="1" x14ac:dyDescent="0.2">
      <c r="I575" s="14"/>
      <c r="J575" s="14"/>
      <c r="M575" s="12"/>
      <c r="N575" s="12"/>
      <c r="O575" s="12"/>
      <c r="P575" s="12"/>
      <c r="Q575" s="13"/>
    </row>
    <row r="576" spans="9:17" ht="15.75" customHeight="1" x14ac:dyDescent="0.2">
      <c r="I576" s="14"/>
      <c r="J576" s="14"/>
      <c r="M576" s="12"/>
      <c r="N576" s="12"/>
      <c r="O576" s="12"/>
      <c r="P576" s="12"/>
      <c r="Q576" s="13"/>
    </row>
    <row r="577" spans="9:17" ht="15.75" customHeight="1" x14ac:dyDescent="0.2">
      <c r="I577" s="14"/>
      <c r="J577" s="14"/>
      <c r="M577" s="12"/>
      <c r="N577" s="12"/>
      <c r="O577" s="12"/>
      <c r="P577" s="12"/>
      <c r="Q577" s="13"/>
    </row>
    <row r="578" spans="9:17" ht="15.75" customHeight="1" x14ac:dyDescent="0.2">
      <c r="I578" s="14"/>
      <c r="J578" s="14"/>
      <c r="M578" s="12"/>
      <c r="N578" s="12"/>
      <c r="O578" s="12"/>
      <c r="P578" s="12"/>
      <c r="Q578" s="13"/>
    </row>
    <row r="579" spans="9:17" ht="15.75" customHeight="1" x14ac:dyDescent="0.2">
      <c r="I579" s="14"/>
      <c r="J579" s="14"/>
      <c r="M579" s="12"/>
      <c r="N579" s="12"/>
      <c r="O579" s="12"/>
      <c r="P579" s="12"/>
      <c r="Q579" s="13"/>
    </row>
    <row r="580" spans="9:17" ht="15.75" customHeight="1" x14ac:dyDescent="0.2">
      <c r="I580" s="14"/>
      <c r="J580" s="14"/>
      <c r="M580" s="12"/>
      <c r="N580" s="12"/>
      <c r="O580" s="12"/>
      <c r="P580" s="12"/>
      <c r="Q580" s="13"/>
    </row>
    <row r="581" spans="9:17" ht="15.75" customHeight="1" x14ac:dyDescent="0.2">
      <c r="I581" s="14"/>
      <c r="J581" s="14"/>
      <c r="M581" s="12"/>
      <c r="N581" s="12"/>
      <c r="O581" s="12"/>
      <c r="P581" s="12"/>
      <c r="Q581" s="13"/>
    </row>
    <row r="582" spans="9:17" ht="15.75" customHeight="1" x14ac:dyDescent="0.2">
      <c r="I582" s="14"/>
      <c r="J582" s="14"/>
      <c r="M582" s="12"/>
      <c r="N582" s="12"/>
      <c r="O582" s="12"/>
      <c r="P582" s="12"/>
      <c r="Q582" s="13"/>
    </row>
    <row r="583" spans="9:17" ht="15.75" customHeight="1" x14ac:dyDescent="0.2">
      <c r="I583" s="14"/>
      <c r="J583" s="14"/>
      <c r="M583" s="12"/>
      <c r="N583" s="12"/>
      <c r="O583" s="12"/>
      <c r="P583" s="12"/>
      <c r="Q583" s="13"/>
    </row>
    <row r="584" spans="9:17" ht="15.75" customHeight="1" x14ac:dyDescent="0.2">
      <c r="I584" s="14"/>
      <c r="J584" s="14"/>
      <c r="M584" s="12"/>
      <c r="N584" s="12"/>
      <c r="O584" s="12"/>
      <c r="P584" s="12"/>
      <c r="Q584" s="13"/>
    </row>
    <row r="585" spans="9:17" ht="15.75" customHeight="1" x14ac:dyDescent="0.2">
      <c r="I585" s="14"/>
      <c r="J585" s="14"/>
      <c r="M585" s="12"/>
      <c r="N585" s="12"/>
      <c r="O585" s="12"/>
      <c r="P585" s="12"/>
      <c r="Q585" s="13"/>
    </row>
    <row r="586" spans="9:17" ht="15.75" customHeight="1" x14ac:dyDescent="0.2">
      <c r="I586" s="14"/>
      <c r="J586" s="14"/>
      <c r="M586" s="12"/>
      <c r="N586" s="12"/>
      <c r="O586" s="12"/>
      <c r="P586" s="12"/>
      <c r="Q586" s="13"/>
    </row>
    <row r="587" spans="9:17" ht="15.75" customHeight="1" x14ac:dyDescent="0.2">
      <c r="I587" s="14"/>
      <c r="J587" s="14"/>
      <c r="M587" s="12"/>
      <c r="N587" s="12"/>
      <c r="O587" s="12"/>
      <c r="P587" s="12"/>
      <c r="Q587" s="13"/>
    </row>
    <row r="588" spans="9:17" ht="15.75" customHeight="1" x14ac:dyDescent="0.2">
      <c r="I588" s="14"/>
      <c r="J588" s="14"/>
      <c r="M588" s="12"/>
      <c r="N588" s="12"/>
      <c r="O588" s="12"/>
      <c r="P588" s="12"/>
      <c r="Q588" s="13"/>
    </row>
    <row r="589" spans="9:17" ht="15.75" customHeight="1" x14ac:dyDescent="0.2">
      <c r="I589" s="14"/>
      <c r="J589" s="14"/>
      <c r="M589" s="12"/>
      <c r="N589" s="12"/>
      <c r="O589" s="12"/>
      <c r="P589" s="12"/>
      <c r="Q589" s="13"/>
    </row>
    <row r="590" spans="9:17" ht="15.75" customHeight="1" x14ac:dyDescent="0.2">
      <c r="I590" s="14"/>
      <c r="J590" s="14"/>
      <c r="M590" s="12"/>
      <c r="N590" s="12"/>
      <c r="O590" s="12"/>
      <c r="P590" s="12"/>
      <c r="Q590" s="13"/>
    </row>
    <row r="591" spans="9:17" ht="15.75" customHeight="1" x14ac:dyDescent="0.2">
      <c r="I591" s="14"/>
      <c r="J591" s="14"/>
      <c r="M591" s="12"/>
      <c r="N591" s="12"/>
      <c r="O591" s="12"/>
      <c r="P591" s="12"/>
      <c r="Q591" s="13"/>
    </row>
    <row r="592" spans="9:17" ht="15.75" customHeight="1" x14ac:dyDescent="0.2">
      <c r="I592" s="14"/>
      <c r="J592" s="14"/>
      <c r="M592" s="12"/>
      <c r="N592" s="12"/>
      <c r="O592" s="12"/>
      <c r="P592" s="12"/>
      <c r="Q592" s="13"/>
    </row>
    <row r="593" spans="9:17" ht="15.75" customHeight="1" x14ac:dyDescent="0.2">
      <c r="I593" s="14"/>
      <c r="J593" s="14"/>
      <c r="M593" s="12"/>
      <c r="N593" s="12"/>
      <c r="O593" s="12"/>
      <c r="P593" s="12"/>
      <c r="Q593" s="13"/>
    </row>
    <row r="594" spans="9:17" ht="15.75" customHeight="1" x14ac:dyDescent="0.2">
      <c r="I594" s="14"/>
      <c r="J594" s="14"/>
      <c r="M594" s="12"/>
      <c r="N594" s="12"/>
      <c r="O594" s="12"/>
      <c r="P594" s="12"/>
      <c r="Q594" s="13"/>
    </row>
    <row r="595" spans="9:17" ht="15.75" customHeight="1" x14ac:dyDescent="0.2">
      <c r="I595" s="14"/>
      <c r="J595" s="14"/>
      <c r="M595" s="12"/>
      <c r="N595" s="12"/>
      <c r="O595" s="12"/>
      <c r="P595" s="12"/>
      <c r="Q595" s="13"/>
    </row>
    <row r="596" spans="9:17" ht="15.75" customHeight="1" x14ac:dyDescent="0.2">
      <c r="I596" s="14"/>
      <c r="J596" s="14"/>
      <c r="M596" s="12"/>
      <c r="N596" s="12"/>
      <c r="O596" s="12"/>
      <c r="P596" s="12"/>
      <c r="Q596" s="13"/>
    </row>
    <row r="597" spans="9:17" ht="15.75" customHeight="1" x14ac:dyDescent="0.2">
      <c r="I597" s="14"/>
      <c r="J597" s="14"/>
      <c r="M597" s="12"/>
      <c r="N597" s="12"/>
      <c r="O597" s="12"/>
      <c r="P597" s="12"/>
      <c r="Q597" s="13"/>
    </row>
    <row r="598" spans="9:17" ht="15.75" customHeight="1" x14ac:dyDescent="0.2">
      <c r="I598" s="14"/>
      <c r="J598" s="14"/>
      <c r="M598" s="12"/>
      <c r="N598" s="12"/>
      <c r="O598" s="12"/>
      <c r="P598" s="12"/>
      <c r="Q598" s="13"/>
    </row>
    <row r="599" spans="9:17" ht="15.75" customHeight="1" x14ac:dyDescent="0.2">
      <c r="I599" s="14"/>
      <c r="J599" s="14"/>
      <c r="M599" s="12"/>
      <c r="N599" s="12"/>
      <c r="O599" s="12"/>
      <c r="P599" s="12"/>
      <c r="Q599" s="13"/>
    </row>
    <row r="600" spans="9:17" ht="15.75" customHeight="1" x14ac:dyDescent="0.2">
      <c r="I600" s="14"/>
      <c r="J600" s="14"/>
      <c r="M600" s="12"/>
      <c r="N600" s="12"/>
      <c r="O600" s="12"/>
      <c r="P600" s="12"/>
      <c r="Q600" s="13"/>
    </row>
    <row r="601" spans="9:17" ht="15.75" customHeight="1" x14ac:dyDescent="0.2">
      <c r="I601" s="14"/>
      <c r="J601" s="14"/>
      <c r="M601" s="12"/>
      <c r="N601" s="12"/>
      <c r="O601" s="12"/>
      <c r="P601" s="12"/>
      <c r="Q601" s="13"/>
    </row>
    <row r="602" spans="9:17" ht="15.75" customHeight="1" x14ac:dyDescent="0.2">
      <c r="I602" s="14"/>
      <c r="J602" s="14"/>
      <c r="M602" s="12"/>
      <c r="N602" s="12"/>
      <c r="O602" s="12"/>
      <c r="P602" s="12"/>
      <c r="Q602" s="13"/>
    </row>
    <row r="603" spans="9:17" ht="15.75" customHeight="1" x14ac:dyDescent="0.2">
      <c r="I603" s="14"/>
      <c r="J603" s="14"/>
      <c r="M603" s="12"/>
      <c r="N603" s="12"/>
      <c r="O603" s="12"/>
      <c r="P603" s="12"/>
      <c r="Q603" s="13"/>
    </row>
    <row r="604" spans="9:17" ht="15.75" customHeight="1" x14ac:dyDescent="0.2">
      <c r="I604" s="14"/>
      <c r="J604" s="14"/>
      <c r="M604" s="12"/>
      <c r="N604" s="12"/>
      <c r="O604" s="12"/>
      <c r="P604" s="12"/>
      <c r="Q604" s="13"/>
    </row>
    <row r="605" spans="9:17" ht="15.75" customHeight="1" x14ac:dyDescent="0.2">
      <c r="I605" s="14"/>
      <c r="J605" s="14"/>
      <c r="M605" s="12"/>
      <c r="N605" s="12"/>
      <c r="O605" s="12"/>
      <c r="P605" s="12"/>
      <c r="Q605" s="13"/>
    </row>
    <row r="606" spans="9:17" ht="15.75" customHeight="1" x14ac:dyDescent="0.2">
      <c r="I606" s="14"/>
      <c r="J606" s="14"/>
      <c r="M606" s="12"/>
      <c r="N606" s="12"/>
      <c r="O606" s="12"/>
      <c r="P606" s="12"/>
      <c r="Q606" s="13"/>
    </row>
    <row r="607" spans="9:17" ht="15.75" customHeight="1" x14ac:dyDescent="0.2">
      <c r="I607" s="14"/>
      <c r="J607" s="14"/>
      <c r="M607" s="12"/>
      <c r="N607" s="12"/>
      <c r="O607" s="12"/>
      <c r="P607" s="12"/>
      <c r="Q607" s="13"/>
    </row>
    <row r="608" spans="9:17" ht="15.75" customHeight="1" x14ac:dyDescent="0.2">
      <c r="I608" s="14"/>
      <c r="J608" s="14"/>
      <c r="M608" s="12"/>
      <c r="N608" s="12"/>
      <c r="O608" s="12"/>
      <c r="P608" s="12"/>
      <c r="Q608" s="13"/>
    </row>
    <row r="609" spans="9:17" ht="15.75" customHeight="1" x14ac:dyDescent="0.2">
      <c r="I609" s="14"/>
      <c r="J609" s="14"/>
      <c r="M609" s="12"/>
      <c r="N609" s="12"/>
      <c r="O609" s="12"/>
      <c r="P609" s="12"/>
      <c r="Q609" s="13"/>
    </row>
    <row r="610" spans="9:17" ht="15.75" customHeight="1" x14ac:dyDescent="0.2">
      <c r="I610" s="14"/>
      <c r="J610" s="14"/>
      <c r="M610" s="12"/>
      <c r="N610" s="12"/>
      <c r="O610" s="12"/>
      <c r="P610" s="12"/>
      <c r="Q610" s="13"/>
    </row>
    <row r="611" spans="9:17" ht="15.75" customHeight="1" x14ac:dyDescent="0.2">
      <c r="I611" s="14"/>
      <c r="J611" s="14"/>
      <c r="M611" s="12"/>
      <c r="N611" s="12"/>
      <c r="O611" s="12"/>
      <c r="P611" s="12"/>
      <c r="Q611" s="13"/>
    </row>
    <row r="612" spans="9:17" ht="15.75" customHeight="1" x14ac:dyDescent="0.2">
      <c r="I612" s="14"/>
      <c r="J612" s="14"/>
      <c r="M612" s="12"/>
      <c r="N612" s="12"/>
      <c r="O612" s="12"/>
      <c r="P612" s="12"/>
      <c r="Q612" s="13"/>
    </row>
    <row r="613" spans="9:17" ht="15.75" customHeight="1" x14ac:dyDescent="0.2">
      <c r="I613" s="14"/>
      <c r="J613" s="14"/>
      <c r="M613" s="12"/>
      <c r="N613" s="12"/>
      <c r="O613" s="12"/>
      <c r="P613" s="12"/>
      <c r="Q613" s="13"/>
    </row>
    <row r="614" spans="9:17" ht="15.75" customHeight="1" x14ac:dyDescent="0.2">
      <c r="I614" s="14"/>
      <c r="J614" s="14"/>
      <c r="M614" s="12"/>
      <c r="N614" s="12"/>
      <c r="O614" s="12"/>
      <c r="P614" s="12"/>
      <c r="Q614" s="13"/>
    </row>
    <row r="615" spans="9:17" ht="15.75" customHeight="1" x14ac:dyDescent="0.2">
      <c r="I615" s="14"/>
      <c r="J615" s="14"/>
      <c r="M615" s="12"/>
      <c r="N615" s="12"/>
      <c r="O615" s="12"/>
      <c r="P615" s="12"/>
      <c r="Q615" s="13"/>
    </row>
    <row r="616" spans="9:17" ht="15.75" customHeight="1" x14ac:dyDescent="0.2">
      <c r="I616" s="14"/>
      <c r="J616" s="14"/>
      <c r="M616" s="12"/>
      <c r="N616" s="12"/>
      <c r="O616" s="12"/>
      <c r="P616" s="12"/>
      <c r="Q616" s="13"/>
    </row>
    <row r="617" spans="9:17" ht="15.75" customHeight="1" x14ac:dyDescent="0.2">
      <c r="I617" s="14"/>
      <c r="J617" s="14"/>
      <c r="M617" s="12"/>
      <c r="N617" s="12"/>
      <c r="O617" s="12"/>
      <c r="P617" s="12"/>
      <c r="Q617" s="13"/>
    </row>
    <row r="618" spans="9:17" ht="15.75" customHeight="1" x14ac:dyDescent="0.2">
      <c r="I618" s="14"/>
      <c r="J618" s="14"/>
      <c r="M618" s="12"/>
      <c r="N618" s="12"/>
      <c r="O618" s="12"/>
      <c r="P618" s="12"/>
      <c r="Q618" s="13"/>
    </row>
    <row r="619" spans="9:17" ht="15.75" customHeight="1" x14ac:dyDescent="0.2">
      <c r="I619" s="14"/>
      <c r="J619" s="14"/>
      <c r="M619" s="12"/>
      <c r="N619" s="12"/>
      <c r="O619" s="12"/>
      <c r="P619" s="12"/>
      <c r="Q619" s="13"/>
    </row>
    <row r="620" spans="9:17" ht="15.75" customHeight="1" x14ac:dyDescent="0.2">
      <c r="I620" s="14"/>
      <c r="J620" s="14"/>
      <c r="M620" s="12"/>
      <c r="N620" s="12"/>
      <c r="O620" s="12"/>
      <c r="P620" s="12"/>
      <c r="Q620" s="13"/>
    </row>
    <row r="621" spans="9:17" ht="15.75" customHeight="1" x14ac:dyDescent="0.2">
      <c r="I621" s="14"/>
      <c r="J621" s="14"/>
      <c r="M621" s="12"/>
      <c r="N621" s="12"/>
      <c r="O621" s="12"/>
      <c r="P621" s="12"/>
      <c r="Q621" s="13"/>
    </row>
    <row r="622" spans="9:17" ht="15.75" customHeight="1" x14ac:dyDescent="0.2">
      <c r="I622" s="14"/>
      <c r="J622" s="14"/>
      <c r="M622" s="12"/>
      <c r="N622" s="12"/>
      <c r="O622" s="12"/>
      <c r="P622" s="12"/>
      <c r="Q622" s="13"/>
    </row>
    <row r="623" spans="9:17" ht="15.75" customHeight="1" x14ac:dyDescent="0.2">
      <c r="I623" s="14"/>
      <c r="J623" s="14"/>
      <c r="M623" s="12"/>
      <c r="N623" s="12"/>
      <c r="O623" s="12"/>
      <c r="P623" s="12"/>
      <c r="Q623" s="13"/>
    </row>
    <row r="624" spans="9:17" ht="15.75" customHeight="1" x14ac:dyDescent="0.2">
      <c r="I624" s="14"/>
      <c r="J624" s="14"/>
      <c r="M624" s="12"/>
      <c r="N624" s="12"/>
      <c r="O624" s="12"/>
      <c r="P624" s="12"/>
      <c r="Q624" s="13"/>
    </row>
    <row r="625" spans="9:17" ht="15.75" customHeight="1" x14ac:dyDescent="0.2">
      <c r="I625" s="14"/>
      <c r="J625" s="14"/>
      <c r="M625" s="12"/>
      <c r="N625" s="12"/>
      <c r="O625" s="12"/>
      <c r="P625" s="12"/>
      <c r="Q625" s="13"/>
    </row>
    <row r="626" spans="9:17" ht="15.75" customHeight="1" x14ac:dyDescent="0.2">
      <c r="I626" s="14"/>
      <c r="J626" s="14"/>
      <c r="M626" s="12"/>
      <c r="N626" s="12"/>
      <c r="O626" s="12"/>
      <c r="P626" s="12"/>
      <c r="Q626" s="13"/>
    </row>
    <row r="627" spans="9:17" ht="15.75" customHeight="1" x14ac:dyDescent="0.2">
      <c r="I627" s="14"/>
      <c r="J627" s="14"/>
      <c r="M627" s="12"/>
      <c r="N627" s="12"/>
      <c r="O627" s="12"/>
      <c r="P627" s="12"/>
      <c r="Q627" s="13"/>
    </row>
    <row r="628" spans="9:17" ht="15.75" customHeight="1" x14ac:dyDescent="0.2">
      <c r="I628" s="14"/>
      <c r="J628" s="14"/>
      <c r="M628" s="12"/>
      <c r="N628" s="12"/>
      <c r="O628" s="12"/>
      <c r="P628" s="12"/>
      <c r="Q628" s="13"/>
    </row>
    <row r="629" spans="9:17" ht="15.75" customHeight="1" x14ac:dyDescent="0.2">
      <c r="I629" s="14"/>
      <c r="J629" s="14"/>
      <c r="M629" s="12"/>
      <c r="N629" s="12"/>
      <c r="O629" s="12"/>
      <c r="P629" s="12"/>
      <c r="Q629" s="13"/>
    </row>
    <row r="630" spans="9:17" ht="15.75" customHeight="1" x14ac:dyDescent="0.2">
      <c r="I630" s="14"/>
      <c r="J630" s="14"/>
      <c r="M630" s="12"/>
      <c r="N630" s="12"/>
      <c r="O630" s="12"/>
      <c r="P630" s="12"/>
      <c r="Q630" s="13"/>
    </row>
    <row r="631" spans="9:17" ht="15.75" customHeight="1" x14ac:dyDescent="0.2">
      <c r="I631" s="14"/>
      <c r="J631" s="14"/>
      <c r="M631" s="12"/>
      <c r="N631" s="12"/>
      <c r="O631" s="12"/>
      <c r="P631" s="12"/>
      <c r="Q631" s="13"/>
    </row>
    <row r="632" spans="9:17" ht="15.75" customHeight="1" x14ac:dyDescent="0.2">
      <c r="I632" s="14"/>
      <c r="J632" s="14"/>
      <c r="M632" s="12"/>
      <c r="N632" s="12"/>
      <c r="O632" s="12"/>
      <c r="P632" s="12"/>
      <c r="Q632" s="13"/>
    </row>
    <row r="633" spans="9:17" ht="15.75" customHeight="1" x14ac:dyDescent="0.2">
      <c r="I633" s="14"/>
      <c r="J633" s="14"/>
      <c r="M633" s="12"/>
      <c r="N633" s="12"/>
      <c r="O633" s="12"/>
      <c r="P633" s="12"/>
      <c r="Q633" s="13"/>
    </row>
    <row r="634" spans="9:17" ht="15.75" customHeight="1" x14ac:dyDescent="0.2">
      <c r="I634" s="14"/>
      <c r="J634" s="14"/>
      <c r="M634" s="12"/>
      <c r="N634" s="12"/>
      <c r="O634" s="12"/>
      <c r="P634" s="12"/>
      <c r="Q634" s="13"/>
    </row>
    <row r="635" spans="9:17" ht="15.75" customHeight="1" x14ac:dyDescent="0.2">
      <c r="I635" s="14"/>
      <c r="J635" s="14"/>
      <c r="M635" s="12"/>
      <c r="N635" s="12"/>
      <c r="O635" s="12"/>
      <c r="P635" s="12"/>
      <c r="Q635" s="13"/>
    </row>
    <row r="636" spans="9:17" ht="15.75" customHeight="1" x14ac:dyDescent="0.2">
      <c r="I636" s="14"/>
      <c r="J636" s="14"/>
      <c r="M636" s="12"/>
      <c r="N636" s="12"/>
      <c r="O636" s="12"/>
      <c r="P636" s="12"/>
      <c r="Q636" s="13"/>
    </row>
    <row r="637" spans="9:17" ht="15.75" customHeight="1" x14ac:dyDescent="0.2">
      <c r="I637" s="14"/>
      <c r="J637" s="14"/>
      <c r="M637" s="12"/>
      <c r="N637" s="12"/>
      <c r="O637" s="12"/>
      <c r="P637" s="12"/>
      <c r="Q637" s="13"/>
    </row>
    <row r="638" spans="9:17" ht="15.75" customHeight="1" x14ac:dyDescent="0.2">
      <c r="I638" s="14"/>
      <c r="J638" s="14"/>
      <c r="M638" s="12"/>
      <c r="N638" s="12"/>
      <c r="O638" s="12"/>
      <c r="P638" s="12"/>
      <c r="Q638" s="13"/>
    </row>
    <row r="639" spans="9:17" ht="15.75" customHeight="1" x14ac:dyDescent="0.2">
      <c r="I639" s="14"/>
      <c r="J639" s="14"/>
      <c r="M639" s="12"/>
      <c r="N639" s="12"/>
      <c r="O639" s="12"/>
      <c r="P639" s="12"/>
      <c r="Q639" s="13"/>
    </row>
    <row r="640" spans="9:17" ht="15.75" customHeight="1" x14ac:dyDescent="0.2">
      <c r="I640" s="14"/>
      <c r="J640" s="14"/>
      <c r="M640" s="12"/>
      <c r="N640" s="12"/>
      <c r="O640" s="12"/>
      <c r="P640" s="12"/>
      <c r="Q640" s="13"/>
    </row>
    <row r="641" spans="9:17" ht="15.75" customHeight="1" x14ac:dyDescent="0.2">
      <c r="I641" s="14"/>
      <c r="J641" s="14"/>
      <c r="M641" s="12"/>
      <c r="N641" s="12"/>
      <c r="O641" s="12"/>
      <c r="P641" s="12"/>
      <c r="Q641" s="13"/>
    </row>
    <row r="642" spans="9:17" ht="15.75" customHeight="1" x14ac:dyDescent="0.2">
      <c r="I642" s="14"/>
      <c r="J642" s="14"/>
      <c r="M642" s="12"/>
      <c r="N642" s="12"/>
      <c r="O642" s="12"/>
      <c r="P642" s="12"/>
      <c r="Q642" s="13"/>
    </row>
    <row r="643" spans="9:17" ht="15.75" customHeight="1" x14ac:dyDescent="0.2">
      <c r="I643" s="14"/>
      <c r="J643" s="14"/>
      <c r="M643" s="12"/>
      <c r="N643" s="12"/>
      <c r="O643" s="12"/>
      <c r="P643" s="12"/>
      <c r="Q643" s="13"/>
    </row>
    <row r="644" spans="9:17" ht="15.75" customHeight="1" x14ac:dyDescent="0.2">
      <c r="I644" s="14"/>
      <c r="J644" s="14"/>
      <c r="M644" s="12"/>
      <c r="N644" s="12"/>
      <c r="O644" s="12"/>
      <c r="P644" s="12"/>
      <c r="Q644" s="13"/>
    </row>
    <row r="645" spans="9:17" ht="15.75" customHeight="1" x14ac:dyDescent="0.2">
      <c r="I645" s="14"/>
      <c r="J645" s="14"/>
      <c r="M645" s="12"/>
      <c r="N645" s="12"/>
      <c r="O645" s="12"/>
      <c r="P645" s="12"/>
      <c r="Q645" s="13"/>
    </row>
    <row r="646" spans="9:17" ht="15.75" customHeight="1" x14ac:dyDescent="0.2">
      <c r="I646" s="14"/>
      <c r="J646" s="14"/>
      <c r="M646" s="12"/>
      <c r="N646" s="12"/>
      <c r="O646" s="12"/>
      <c r="P646" s="12"/>
      <c r="Q646" s="13"/>
    </row>
    <row r="647" spans="9:17" ht="15.75" customHeight="1" x14ac:dyDescent="0.2">
      <c r="I647" s="14"/>
      <c r="J647" s="14"/>
      <c r="M647" s="12"/>
      <c r="N647" s="12"/>
      <c r="O647" s="12"/>
      <c r="P647" s="12"/>
      <c r="Q647" s="13"/>
    </row>
    <row r="648" spans="9:17" ht="15.75" customHeight="1" x14ac:dyDescent="0.2">
      <c r="I648" s="14"/>
      <c r="J648" s="14"/>
      <c r="M648" s="12"/>
      <c r="N648" s="12"/>
      <c r="O648" s="12"/>
      <c r="P648" s="12"/>
      <c r="Q648" s="13"/>
    </row>
    <row r="649" spans="9:17" ht="15.75" customHeight="1" x14ac:dyDescent="0.2">
      <c r="I649" s="14"/>
      <c r="J649" s="14"/>
      <c r="M649" s="12"/>
      <c r="N649" s="12"/>
      <c r="O649" s="12"/>
      <c r="P649" s="12"/>
      <c r="Q649" s="13"/>
    </row>
    <row r="650" spans="9:17" ht="15.75" customHeight="1" x14ac:dyDescent="0.2">
      <c r="I650" s="14"/>
      <c r="J650" s="14"/>
      <c r="M650" s="12"/>
      <c r="N650" s="12"/>
      <c r="O650" s="12"/>
      <c r="P650" s="12"/>
      <c r="Q650" s="13"/>
    </row>
    <row r="651" spans="9:17" ht="15.75" customHeight="1" x14ac:dyDescent="0.2">
      <c r="I651" s="14"/>
      <c r="J651" s="14"/>
      <c r="M651" s="12"/>
      <c r="N651" s="12"/>
      <c r="O651" s="12"/>
      <c r="P651" s="12"/>
      <c r="Q651" s="13"/>
    </row>
    <row r="652" spans="9:17" ht="15.75" customHeight="1" x14ac:dyDescent="0.2">
      <c r="I652" s="14"/>
      <c r="J652" s="14"/>
      <c r="M652" s="12"/>
      <c r="N652" s="12"/>
      <c r="O652" s="12"/>
      <c r="P652" s="12"/>
      <c r="Q652" s="13"/>
    </row>
    <row r="653" spans="9:17" ht="15.75" customHeight="1" x14ac:dyDescent="0.2">
      <c r="I653" s="14"/>
      <c r="J653" s="14"/>
      <c r="M653" s="12"/>
      <c r="N653" s="12"/>
      <c r="O653" s="12"/>
      <c r="P653" s="12"/>
      <c r="Q653" s="13"/>
    </row>
    <row r="654" spans="9:17" ht="15.75" customHeight="1" x14ac:dyDescent="0.2">
      <c r="I654" s="14"/>
      <c r="J654" s="14"/>
      <c r="M654" s="12"/>
      <c r="N654" s="12"/>
      <c r="O654" s="12"/>
      <c r="P654" s="12"/>
      <c r="Q654" s="13"/>
    </row>
    <row r="655" spans="9:17" ht="15.75" customHeight="1" x14ac:dyDescent="0.2">
      <c r="I655" s="14"/>
      <c r="J655" s="14"/>
      <c r="M655" s="12"/>
      <c r="N655" s="12"/>
      <c r="O655" s="12"/>
      <c r="P655" s="12"/>
      <c r="Q655" s="13"/>
    </row>
    <row r="656" spans="9:17" ht="15.75" customHeight="1" x14ac:dyDescent="0.2">
      <c r="I656" s="14"/>
      <c r="J656" s="14"/>
      <c r="M656" s="12"/>
      <c r="N656" s="12"/>
      <c r="O656" s="12"/>
      <c r="P656" s="12"/>
      <c r="Q656" s="13"/>
    </row>
    <row r="657" spans="9:17" ht="15.75" customHeight="1" x14ac:dyDescent="0.2">
      <c r="I657" s="14"/>
      <c r="J657" s="14"/>
      <c r="M657" s="12"/>
      <c r="N657" s="12"/>
      <c r="O657" s="12"/>
      <c r="P657" s="12"/>
      <c r="Q657" s="13"/>
    </row>
    <row r="658" spans="9:17" ht="15.75" customHeight="1" x14ac:dyDescent="0.2">
      <c r="I658" s="14"/>
      <c r="J658" s="14"/>
      <c r="M658" s="12"/>
      <c r="N658" s="12"/>
      <c r="O658" s="12"/>
      <c r="P658" s="12"/>
      <c r="Q658" s="13"/>
    </row>
    <row r="659" spans="9:17" ht="15.75" customHeight="1" x14ac:dyDescent="0.2">
      <c r="I659" s="14"/>
      <c r="J659" s="14"/>
      <c r="M659" s="12"/>
      <c r="N659" s="12"/>
      <c r="O659" s="12"/>
      <c r="P659" s="12"/>
      <c r="Q659" s="13"/>
    </row>
    <row r="660" spans="9:17" ht="15.75" customHeight="1" x14ac:dyDescent="0.2">
      <c r="I660" s="14"/>
      <c r="J660" s="14"/>
      <c r="M660" s="12"/>
      <c r="N660" s="12"/>
      <c r="O660" s="12"/>
      <c r="P660" s="12"/>
      <c r="Q660" s="13"/>
    </row>
    <row r="661" spans="9:17" ht="15.75" customHeight="1" x14ac:dyDescent="0.2">
      <c r="I661" s="14"/>
      <c r="J661" s="14"/>
      <c r="M661" s="12"/>
      <c r="N661" s="12"/>
      <c r="O661" s="12"/>
      <c r="P661" s="12"/>
      <c r="Q661" s="13"/>
    </row>
    <row r="662" spans="9:17" ht="15.75" customHeight="1" x14ac:dyDescent="0.2">
      <c r="I662" s="14"/>
      <c r="J662" s="14"/>
      <c r="M662" s="12"/>
      <c r="N662" s="12"/>
      <c r="O662" s="12"/>
      <c r="P662" s="12"/>
      <c r="Q662" s="13"/>
    </row>
    <row r="663" spans="9:17" ht="15.75" customHeight="1" x14ac:dyDescent="0.2">
      <c r="I663" s="14"/>
      <c r="J663" s="14"/>
      <c r="M663" s="12"/>
      <c r="N663" s="12"/>
      <c r="O663" s="12"/>
      <c r="P663" s="12"/>
      <c r="Q663" s="13"/>
    </row>
    <row r="664" spans="9:17" ht="15.75" customHeight="1" x14ac:dyDescent="0.2">
      <c r="I664" s="14"/>
      <c r="J664" s="14"/>
      <c r="M664" s="12"/>
      <c r="N664" s="12"/>
      <c r="O664" s="12"/>
      <c r="P664" s="12"/>
      <c r="Q664" s="13"/>
    </row>
    <row r="665" spans="9:17" ht="15.75" customHeight="1" x14ac:dyDescent="0.2">
      <c r="I665" s="14"/>
      <c r="J665" s="14"/>
      <c r="M665" s="12"/>
      <c r="N665" s="12"/>
      <c r="O665" s="12"/>
      <c r="P665" s="12"/>
      <c r="Q665" s="13"/>
    </row>
    <row r="666" spans="9:17" ht="15.75" customHeight="1" x14ac:dyDescent="0.2">
      <c r="I666" s="14"/>
      <c r="J666" s="14"/>
      <c r="M666" s="12"/>
      <c r="N666" s="12"/>
      <c r="O666" s="12"/>
      <c r="P666" s="12"/>
      <c r="Q666" s="13"/>
    </row>
    <row r="667" spans="9:17" ht="15.75" customHeight="1" x14ac:dyDescent="0.2">
      <c r="I667" s="14"/>
      <c r="J667" s="14"/>
      <c r="M667" s="12"/>
      <c r="N667" s="12"/>
      <c r="O667" s="12"/>
      <c r="P667" s="12"/>
      <c r="Q667" s="13"/>
    </row>
    <row r="668" spans="9:17" ht="15.75" customHeight="1" x14ac:dyDescent="0.2">
      <c r="I668" s="14"/>
      <c r="J668" s="14"/>
      <c r="M668" s="12"/>
      <c r="N668" s="12"/>
      <c r="O668" s="12"/>
      <c r="P668" s="12"/>
      <c r="Q668" s="13"/>
    </row>
    <row r="669" spans="9:17" ht="15.75" customHeight="1" x14ac:dyDescent="0.2">
      <c r="I669" s="14"/>
      <c r="J669" s="14"/>
      <c r="M669" s="12"/>
      <c r="N669" s="12"/>
      <c r="O669" s="12"/>
      <c r="P669" s="12"/>
      <c r="Q669" s="13"/>
    </row>
    <row r="670" spans="9:17" ht="15.75" customHeight="1" x14ac:dyDescent="0.2">
      <c r="I670" s="14"/>
      <c r="J670" s="14"/>
      <c r="M670" s="12"/>
      <c r="N670" s="12"/>
      <c r="O670" s="12"/>
      <c r="P670" s="12"/>
      <c r="Q670" s="13"/>
    </row>
    <row r="671" spans="9:17" ht="15.75" customHeight="1" x14ac:dyDescent="0.2">
      <c r="I671" s="14"/>
      <c r="J671" s="14"/>
      <c r="M671" s="12"/>
      <c r="N671" s="12"/>
      <c r="O671" s="12"/>
      <c r="P671" s="12"/>
      <c r="Q671" s="13"/>
    </row>
    <row r="672" spans="9:17" ht="15.75" customHeight="1" x14ac:dyDescent="0.2">
      <c r="I672" s="14"/>
      <c r="J672" s="14"/>
      <c r="M672" s="12"/>
      <c r="N672" s="12"/>
      <c r="O672" s="12"/>
      <c r="P672" s="12"/>
      <c r="Q672" s="13"/>
    </row>
    <row r="673" spans="9:17" ht="15.75" customHeight="1" x14ac:dyDescent="0.2">
      <c r="I673" s="14"/>
      <c r="J673" s="14"/>
      <c r="M673" s="12"/>
      <c r="N673" s="12"/>
      <c r="O673" s="12"/>
      <c r="P673" s="12"/>
      <c r="Q673" s="13"/>
    </row>
    <row r="674" spans="9:17" ht="15.75" customHeight="1" x14ac:dyDescent="0.2">
      <c r="I674" s="14"/>
      <c r="J674" s="14"/>
      <c r="M674" s="12"/>
      <c r="N674" s="12"/>
      <c r="O674" s="12"/>
      <c r="P674" s="12"/>
      <c r="Q674" s="13"/>
    </row>
    <row r="675" spans="9:17" ht="15.75" customHeight="1" x14ac:dyDescent="0.2">
      <c r="I675" s="14"/>
      <c r="J675" s="14"/>
      <c r="M675" s="12"/>
      <c r="N675" s="12"/>
      <c r="O675" s="12"/>
      <c r="P675" s="12"/>
      <c r="Q675" s="13"/>
    </row>
    <row r="676" spans="9:17" ht="15.75" customHeight="1" x14ac:dyDescent="0.2">
      <c r="I676" s="14"/>
      <c r="J676" s="14"/>
      <c r="M676" s="12"/>
      <c r="N676" s="12"/>
      <c r="O676" s="12"/>
      <c r="P676" s="12"/>
      <c r="Q676" s="13"/>
    </row>
    <row r="677" spans="9:17" ht="15.75" customHeight="1" x14ac:dyDescent="0.2">
      <c r="I677" s="14"/>
      <c r="J677" s="14"/>
      <c r="M677" s="12"/>
      <c r="N677" s="12"/>
      <c r="O677" s="12"/>
      <c r="P677" s="12"/>
      <c r="Q677" s="13"/>
    </row>
    <row r="678" spans="9:17" ht="15.75" customHeight="1" x14ac:dyDescent="0.2">
      <c r="I678" s="14"/>
      <c r="J678" s="14"/>
      <c r="M678" s="12"/>
      <c r="N678" s="12"/>
      <c r="O678" s="12"/>
      <c r="P678" s="12"/>
      <c r="Q678" s="13"/>
    </row>
    <row r="679" spans="9:17" ht="15.75" customHeight="1" x14ac:dyDescent="0.2">
      <c r="I679" s="14"/>
      <c r="J679" s="14"/>
      <c r="M679" s="12"/>
      <c r="N679" s="12"/>
      <c r="O679" s="12"/>
      <c r="P679" s="12"/>
      <c r="Q679" s="13"/>
    </row>
    <row r="680" spans="9:17" ht="15.75" customHeight="1" x14ac:dyDescent="0.2">
      <c r="I680" s="14"/>
      <c r="J680" s="14"/>
      <c r="M680" s="12"/>
      <c r="N680" s="12"/>
      <c r="O680" s="12"/>
      <c r="P680" s="12"/>
      <c r="Q680" s="13"/>
    </row>
    <row r="681" spans="9:17" ht="15.75" customHeight="1" x14ac:dyDescent="0.2">
      <c r="I681" s="14"/>
      <c r="J681" s="14"/>
      <c r="M681" s="12"/>
      <c r="N681" s="12"/>
      <c r="O681" s="12"/>
      <c r="P681" s="12"/>
      <c r="Q681" s="13"/>
    </row>
    <row r="682" spans="9:17" ht="15.75" customHeight="1" x14ac:dyDescent="0.2">
      <c r="I682" s="14"/>
      <c r="J682" s="14"/>
      <c r="M682" s="12"/>
      <c r="N682" s="12"/>
      <c r="O682" s="12"/>
      <c r="P682" s="12"/>
      <c r="Q682" s="13"/>
    </row>
    <row r="683" spans="9:17" ht="15.75" customHeight="1" x14ac:dyDescent="0.2">
      <c r="I683" s="14"/>
      <c r="J683" s="14"/>
      <c r="M683" s="12"/>
      <c r="N683" s="12"/>
      <c r="O683" s="12"/>
      <c r="P683" s="12"/>
      <c r="Q683" s="13"/>
    </row>
    <row r="684" spans="9:17" ht="15.75" customHeight="1" x14ac:dyDescent="0.2">
      <c r="I684" s="14"/>
      <c r="J684" s="14"/>
      <c r="M684" s="12"/>
      <c r="N684" s="12"/>
      <c r="O684" s="12"/>
      <c r="P684" s="12"/>
      <c r="Q684" s="13"/>
    </row>
    <row r="685" spans="9:17" ht="15.75" customHeight="1" x14ac:dyDescent="0.2">
      <c r="I685" s="14"/>
      <c r="J685" s="14"/>
      <c r="M685" s="12"/>
      <c r="N685" s="12"/>
      <c r="O685" s="12"/>
      <c r="P685" s="12"/>
      <c r="Q685" s="13"/>
    </row>
    <row r="686" spans="9:17" ht="15.75" customHeight="1" x14ac:dyDescent="0.2">
      <c r="I686" s="14"/>
      <c r="J686" s="14"/>
      <c r="M686" s="12"/>
      <c r="N686" s="12"/>
      <c r="O686" s="12"/>
      <c r="P686" s="12"/>
      <c r="Q686" s="13"/>
    </row>
    <row r="687" spans="9:17" ht="15.75" customHeight="1" x14ac:dyDescent="0.2">
      <c r="I687" s="14"/>
      <c r="J687" s="14"/>
      <c r="M687" s="12"/>
      <c r="N687" s="12"/>
      <c r="O687" s="12"/>
      <c r="P687" s="12"/>
      <c r="Q687" s="13"/>
    </row>
    <row r="688" spans="9:17" ht="15.75" customHeight="1" x14ac:dyDescent="0.2">
      <c r="I688" s="14"/>
      <c r="J688" s="14"/>
      <c r="M688" s="12"/>
      <c r="N688" s="12"/>
      <c r="O688" s="12"/>
      <c r="P688" s="12"/>
      <c r="Q688" s="13"/>
    </row>
    <row r="689" spans="9:17" ht="15.75" customHeight="1" x14ac:dyDescent="0.2">
      <c r="I689" s="14"/>
      <c r="J689" s="14"/>
      <c r="M689" s="12"/>
      <c r="N689" s="12"/>
      <c r="O689" s="12"/>
      <c r="P689" s="12"/>
      <c r="Q689" s="13"/>
    </row>
    <row r="690" spans="9:17" ht="15.75" customHeight="1" x14ac:dyDescent="0.2">
      <c r="I690" s="14"/>
      <c r="J690" s="14"/>
      <c r="M690" s="12"/>
      <c r="N690" s="12"/>
      <c r="O690" s="12"/>
      <c r="P690" s="12"/>
      <c r="Q690" s="13"/>
    </row>
    <row r="691" spans="9:17" ht="15.75" customHeight="1" x14ac:dyDescent="0.2">
      <c r="I691" s="14"/>
      <c r="J691" s="14"/>
      <c r="M691" s="12"/>
      <c r="N691" s="12"/>
      <c r="O691" s="12"/>
      <c r="P691" s="12"/>
      <c r="Q691" s="13"/>
    </row>
    <row r="692" spans="9:17" ht="15.75" customHeight="1" x14ac:dyDescent="0.2">
      <c r="I692" s="14"/>
      <c r="J692" s="14"/>
      <c r="M692" s="12"/>
      <c r="N692" s="12"/>
      <c r="O692" s="12"/>
      <c r="P692" s="12"/>
      <c r="Q692" s="13"/>
    </row>
    <row r="693" spans="9:17" ht="15.75" customHeight="1" x14ac:dyDescent="0.2">
      <c r="I693" s="14"/>
      <c r="J693" s="14"/>
      <c r="M693" s="12"/>
      <c r="N693" s="12"/>
      <c r="O693" s="12"/>
      <c r="P693" s="12"/>
      <c r="Q693" s="13"/>
    </row>
    <row r="694" spans="9:17" ht="15.75" customHeight="1" x14ac:dyDescent="0.2">
      <c r="I694" s="14"/>
      <c r="J694" s="14"/>
      <c r="M694" s="12"/>
      <c r="N694" s="12"/>
      <c r="O694" s="12"/>
      <c r="P694" s="12"/>
      <c r="Q694" s="13"/>
    </row>
    <row r="695" spans="9:17" ht="15.75" customHeight="1" x14ac:dyDescent="0.2">
      <c r="I695" s="14"/>
      <c r="J695" s="14"/>
      <c r="M695" s="12"/>
      <c r="N695" s="12"/>
      <c r="O695" s="12"/>
      <c r="P695" s="12"/>
      <c r="Q695" s="13"/>
    </row>
    <row r="696" spans="9:17" ht="15.75" customHeight="1" x14ac:dyDescent="0.2">
      <c r="I696" s="14"/>
      <c r="J696" s="14"/>
      <c r="M696" s="12"/>
      <c r="N696" s="12"/>
      <c r="O696" s="12"/>
      <c r="P696" s="12"/>
      <c r="Q696" s="13"/>
    </row>
    <row r="697" spans="9:17" ht="15.75" customHeight="1" x14ac:dyDescent="0.2">
      <c r="I697" s="14"/>
      <c r="J697" s="14"/>
      <c r="M697" s="12"/>
      <c r="N697" s="12"/>
      <c r="O697" s="12"/>
      <c r="P697" s="12"/>
      <c r="Q697" s="13"/>
    </row>
    <row r="698" spans="9:17" ht="15.75" customHeight="1" x14ac:dyDescent="0.2">
      <c r="I698" s="14"/>
      <c r="J698" s="14"/>
      <c r="M698" s="12"/>
      <c r="N698" s="12"/>
      <c r="O698" s="12"/>
      <c r="P698" s="12"/>
      <c r="Q698" s="13"/>
    </row>
    <row r="699" spans="9:17" ht="15.75" customHeight="1" x14ac:dyDescent="0.2">
      <c r="I699" s="14"/>
      <c r="J699" s="14"/>
      <c r="M699" s="12"/>
      <c r="N699" s="12"/>
      <c r="O699" s="12"/>
      <c r="P699" s="12"/>
      <c r="Q699" s="13"/>
    </row>
    <row r="700" spans="9:17" ht="15.75" customHeight="1" x14ac:dyDescent="0.2">
      <c r="I700" s="14"/>
      <c r="J700" s="14"/>
      <c r="M700" s="12"/>
      <c r="N700" s="12"/>
      <c r="O700" s="12"/>
      <c r="P700" s="12"/>
      <c r="Q700" s="13"/>
    </row>
    <row r="701" spans="9:17" ht="15.75" customHeight="1" x14ac:dyDescent="0.2">
      <c r="I701" s="14"/>
      <c r="J701" s="14"/>
      <c r="M701" s="12"/>
      <c r="N701" s="12"/>
      <c r="O701" s="12"/>
      <c r="P701" s="12"/>
      <c r="Q701" s="13"/>
    </row>
    <row r="702" spans="9:17" ht="15.75" customHeight="1" x14ac:dyDescent="0.2">
      <c r="I702" s="14"/>
      <c r="J702" s="14"/>
      <c r="M702" s="12"/>
      <c r="N702" s="12"/>
      <c r="O702" s="12"/>
      <c r="P702" s="12"/>
      <c r="Q702" s="13"/>
    </row>
    <row r="703" spans="9:17" ht="15.75" customHeight="1" x14ac:dyDescent="0.2">
      <c r="I703" s="14"/>
      <c r="J703" s="14"/>
      <c r="M703" s="12"/>
      <c r="N703" s="12"/>
      <c r="O703" s="12"/>
      <c r="P703" s="12"/>
      <c r="Q703" s="13"/>
    </row>
    <row r="704" spans="9:17" ht="15.75" customHeight="1" x14ac:dyDescent="0.2">
      <c r="I704" s="14"/>
      <c r="J704" s="14"/>
      <c r="M704" s="12"/>
      <c r="N704" s="12"/>
      <c r="O704" s="12"/>
      <c r="P704" s="12"/>
      <c r="Q704" s="13"/>
    </row>
    <row r="705" spans="9:17" ht="15.75" customHeight="1" x14ac:dyDescent="0.2">
      <c r="I705" s="14"/>
      <c r="J705" s="14"/>
      <c r="M705" s="12"/>
      <c r="N705" s="12"/>
      <c r="O705" s="12"/>
      <c r="P705" s="12"/>
      <c r="Q705" s="13"/>
    </row>
    <row r="706" spans="9:17" ht="15.75" customHeight="1" x14ac:dyDescent="0.2">
      <c r="I706" s="14"/>
      <c r="J706" s="14"/>
      <c r="M706" s="12"/>
      <c r="N706" s="12"/>
      <c r="O706" s="12"/>
      <c r="P706" s="12"/>
      <c r="Q706" s="13"/>
    </row>
    <row r="707" spans="9:17" ht="15.75" customHeight="1" x14ac:dyDescent="0.2">
      <c r="I707" s="14"/>
      <c r="J707" s="14"/>
      <c r="M707" s="12"/>
      <c r="N707" s="12"/>
      <c r="O707" s="12"/>
      <c r="P707" s="12"/>
      <c r="Q707" s="13"/>
    </row>
    <row r="708" spans="9:17" ht="15.75" customHeight="1" x14ac:dyDescent="0.2">
      <c r="I708" s="14"/>
      <c r="J708" s="14"/>
      <c r="M708" s="12"/>
      <c r="N708" s="12"/>
      <c r="O708" s="12"/>
      <c r="P708" s="12"/>
      <c r="Q708" s="13"/>
    </row>
    <row r="709" spans="9:17" ht="15.75" customHeight="1" x14ac:dyDescent="0.2">
      <c r="I709" s="14"/>
      <c r="J709" s="14"/>
      <c r="M709" s="12"/>
      <c r="N709" s="12"/>
      <c r="O709" s="12"/>
      <c r="P709" s="12"/>
      <c r="Q709" s="13"/>
    </row>
    <row r="710" spans="9:17" ht="15.75" customHeight="1" x14ac:dyDescent="0.2">
      <c r="I710" s="14"/>
      <c r="J710" s="14"/>
      <c r="M710" s="12"/>
      <c r="N710" s="12"/>
      <c r="O710" s="12"/>
      <c r="P710" s="12"/>
      <c r="Q710" s="13"/>
    </row>
    <row r="711" spans="9:17" ht="15.75" customHeight="1" x14ac:dyDescent="0.2">
      <c r="I711" s="14"/>
      <c r="J711" s="14"/>
      <c r="M711" s="12"/>
      <c r="N711" s="12"/>
      <c r="O711" s="12"/>
      <c r="P711" s="12"/>
      <c r="Q711" s="13"/>
    </row>
    <row r="712" spans="9:17" ht="15.75" customHeight="1" x14ac:dyDescent="0.2">
      <c r="I712" s="14"/>
      <c r="J712" s="14"/>
      <c r="M712" s="12"/>
      <c r="N712" s="12"/>
      <c r="O712" s="12"/>
      <c r="P712" s="12"/>
      <c r="Q712" s="13"/>
    </row>
    <row r="713" spans="9:17" ht="15.75" customHeight="1" x14ac:dyDescent="0.2">
      <c r="I713" s="14"/>
      <c r="J713" s="14"/>
      <c r="M713" s="12"/>
      <c r="N713" s="12"/>
      <c r="O713" s="12"/>
      <c r="P713" s="12"/>
      <c r="Q713" s="13"/>
    </row>
    <row r="714" spans="9:17" ht="15.75" customHeight="1" x14ac:dyDescent="0.2">
      <c r="I714" s="14"/>
      <c r="J714" s="14"/>
      <c r="M714" s="12"/>
      <c r="N714" s="12"/>
      <c r="O714" s="12"/>
      <c r="P714" s="12"/>
      <c r="Q714" s="13"/>
    </row>
    <row r="715" spans="9:17" ht="15.75" customHeight="1" x14ac:dyDescent="0.2">
      <c r="I715" s="14"/>
      <c r="J715" s="14"/>
      <c r="M715" s="12"/>
      <c r="N715" s="12"/>
      <c r="O715" s="12"/>
      <c r="P715" s="12"/>
      <c r="Q715" s="13"/>
    </row>
    <row r="716" spans="9:17" ht="15.75" customHeight="1" x14ac:dyDescent="0.2">
      <c r="I716" s="14"/>
      <c r="J716" s="14"/>
      <c r="M716" s="12"/>
      <c r="N716" s="12"/>
      <c r="O716" s="12"/>
      <c r="P716" s="12"/>
      <c r="Q716" s="13"/>
    </row>
    <row r="717" spans="9:17" ht="15.75" customHeight="1" x14ac:dyDescent="0.2">
      <c r="I717" s="14"/>
      <c r="J717" s="14"/>
      <c r="M717" s="12"/>
      <c r="N717" s="12"/>
      <c r="O717" s="12"/>
      <c r="P717" s="12"/>
      <c r="Q717" s="13"/>
    </row>
    <row r="718" spans="9:17" ht="15.75" customHeight="1" x14ac:dyDescent="0.2">
      <c r="I718" s="14"/>
      <c r="J718" s="14"/>
      <c r="M718" s="12"/>
      <c r="N718" s="12"/>
      <c r="O718" s="12"/>
      <c r="P718" s="12"/>
      <c r="Q718" s="13"/>
    </row>
    <row r="719" spans="9:17" ht="15.75" customHeight="1" x14ac:dyDescent="0.2">
      <c r="I719" s="14"/>
      <c r="J719" s="14"/>
      <c r="M719" s="12"/>
      <c r="N719" s="12"/>
      <c r="O719" s="12"/>
      <c r="P719" s="12"/>
      <c r="Q719" s="13"/>
    </row>
    <row r="720" spans="9:17" ht="15.75" customHeight="1" x14ac:dyDescent="0.2">
      <c r="I720" s="14"/>
      <c r="J720" s="14"/>
      <c r="M720" s="12"/>
      <c r="N720" s="12"/>
      <c r="O720" s="12"/>
      <c r="P720" s="12"/>
      <c r="Q720" s="13"/>
    </row>
    <row r="721" spans="9:17" ht="15.75" customHeight="1" x14ac:dyDescent="0.2">
      <c r="I721" s="14"/>
      <c r="J721" s="14"/>
      <c r="M721" s="12"/>
      <c r="N721" s="12"/>
      <c r="O721" s="12"/>
      <c r="P721" s="12"/>
      <c r="Q721" s="13"/>
    </row>
    <row r="722" spans="9:17" ht="15.75" customHeight="1" x14ac:dyDescent="0.2">
      <c r="I722" s="14"/>
      <c r="J722" s="14"/>
      <c r="M722" s="12"/>
      <c r="N722" s="12"/>
      <c r="O722" s="12"/>
      <c r="P722" s="12"/>
      <c r="Q722" s="13"/>
    </row>
    <row r="723" spans="9:17" ht="15.75" customHeight="1" x14ac:dyDescent="0.2">
      <c r="I723" s="14"/>
      <c r="J723" s="14"/>
      <c r="M723" s="12"/>
      <c r="N723" s="12"/>
      <c r="O723" s="12"/>
      <c r="P723" s="12"/>
      <c r="Q723" s="13"/>
    </row>
    <row r="724" spans="9:17" ht="15.75" customHeight="1" x14ac:dyDescent="0.2">
      <c r="I724" s="14"/>
      <c r="J724" s="14"/>
      <c r="M724" s="12"/>
      <c r="N724" s="12"/>
      <c r="O724" s="12"/>
      <c r="P724" s="12"/>
      <c r="Q724" s="13"/>
    </row>
    <row r="725" spans="9:17" ht="15.75" customHeight="1" x14ac:dyDescent="0.2">
      <c r="I725" s="14"/>
      <c r="J725" s="14"/>
      <c r="M725" s="12"/>
      <c r="N725" s="12"/>
      <c r="O725" s="12"/>
      <c r="P725" s="12"/>
      <c r="Q725" s="13"/>
    </row>
    <row r="726" spans="9:17" ht="15.75" customHeight="1" x14ac:dyDescent="0.2">
      <c r="I726" s="14"/>
      <c r="J726" s="14"/>
      <c r="M726" s="12"/>
      <c r="N726" s="12"/>
      <c r="O726" s="12"/>
      <c r="P726" s="12"/>
      <c r="Q726" s="13"/>
    </row>
    <row r="727" spans="9:17" ht="15.75" customHeight="1" x14ac:dyDescent="0.2">
      <c r="I727" s="14"/>
      <c r="J727" s="14"/>
      <c r="M727" s="12"/>
      <c r="N727" s="12"/>
      <c r="O727" s="12"/>
      <c r="P727" s="12"/>
      <c r="Q727" s="13"/>
    </row>
    <row r="728" spans="9:17" ht="15.75" customHeight="1" x14ac:dyDescent="0.2">
      <c r="I728" s="14"/>
      <c r="J728" s="14"/>
      <c r="M728" s="12"/>
      <c r="N728" s="12"/>
      <c r="O728" s="12"/>
      <c r="P728" s="12"/>
      <c r="Q728" s="13"/>
    </row>
    <row r="729" spans="9:17" ht="15.75" customHeight="1" x14ac:dyDescent="0.2">
      <c r="I729" s="14"/>
      <c r="J729" s="14"/>
      <c r="M729" s="12"/>
      <c r="N729" s="12"/>
      <c r="O729" s="12"/>
      <c r="P729" s="12"/>
      <c r="Q729" s="13"/>
    </row>
    <row r="730" spans="9:17" ht="15.75" customHeight="1" x14ac:dyDescent="0.2">
      <c r="I730" s="14"/>
      <c r="J730" s="14"/>
      <c r="M730" s="12"/>
      <c r="N730" s="12"/>
      <c r="O730" s="12"/>
      <c r="P730" s="12"/>
      <c r="Q730" s="13"/>
    </row>
    <row r="731" spans="9:17" ht="15.75" customHeight="1" x14ac:dyDescent="0.2">
      <c r="I731" s="14"/>
      <c r="J731" s="14"/>
      <c r="M731" s="12"/>
      <c r="N731" s="12"/>
      <c r="O731" s="12"/>
      <c r="P731" s="12"/>
      <c r="Q731" s="13"/>
    </row>
    <row r="732" spans="9:17" ht="15.75" customHeight="1" x14ac:dyDescent="0.2">
      <c r="I732" s="14"/>
      <c r="J732" s="14"/>
      <c r="M732" s="12"/>
      <c r="N732" s="12"/>
      <c r="O732" s="12"/>
      <c r="P732" s="12"/>
      <c r="Q732" s="13"/>
    </row>
    <row r="733" spans="9:17" ht="15.75" customHeight="1" x14ac:dyDescent="0.2">
      <c r="I733" s="14"/>
      <c r="J733" s="14"/>
      <c r="M733" s="12"/>
      <c r="N733" s="12"/>
      <c r="O733" s="12"/>
      <c r="P733" s="12"/>
      <c r="Q733" s="13"/>
    </row>
    <row r="734" spans="9:17" ht="15.75" customHeight="1" x14ac:dyDescent="0.2">
      <c r="I734" s="14"/>
      <c r="J734" s="14"/>
      <c r="M734" s="12"/>
      <c r="N734" s="12"/>
      <c r="O734" s="12"/>
      <c r="P734" s="12"/>
      <c r="Q734" s="13"/>
    </row>
    <row r="735" spans="9:17" ht="15.75" customHeight="1" x14ac:dyDescent="0.2">
      <c r="I735" s="14"/>
      <c r="J735" s="14"/>
      <c r="M735" s="12"/>
      <c r="N735" s="12"/>
      <c r="O735" s="12"/>
      <c r="P735" s="12"/>
      <c r="Q735" s="13"/>
    </row>
    <row r="736" spans="9:17" ht="15.75" customHeight="1" x14ac:dyDescent="0.2">
      <c r="I736" s="14"/>
      <c r="J736" s="14"/>
      <c r="M736" s="12"/>
      <c r="N736" s="12"/>
      <c r="O736" s="12"/>
      <c r="P736" s="12"/>
      <c r="Q736" s="13"/>
    </row>
    <row r="737" spans="9:17" ht="15.75" customHeight="1" x14ac:dyDescent="0.2">
      <c r="I737" s="14"/>
      <c r="J737" s="14"/>
      <c r="M737" s="12"/>
      <c r="N737" s="12"/>
      <c r="O737" s="12"/>
      <c r="P737" s="12"/>
      <c r="Q737" s="13"/>
    </row>
    <row r="738" spans="9:17" ht="15.75" customHeight="1" x14ac:dyDescent="0.2">
      <c r="I738" s="14"/>
      <c r="J738" s="14"/>
      <c r="M738" s="12"/>
      <c r="N738" s="12"/>
      <c r="O738" s="12"/>
      <c r="P738" s="12"/>
      <c r="Q738" s="13"/>
    </row>
    <row r="739" spans="9:17" ht="15.75" customHeight="1" x14ac:dyDescent="0.2">
      <c r="I739" s="14"/>
      <c r="J739" s="14"/>
      <c r="M739" s="12"/>
      <c r="N739" s="12"/>
      <c r="O739" s="12"/>
      <c r="P739" s="12"/>
      <c r="Q739" s="13"/>
    </row>
    <row r="740" spans="9:17" ht="15.75" customHeight="1" x14ac:dyDescent="0.2">
      <c r="I740" s="14"/>
      <c r="J740" s="14"/>
      <c r="M740" s="12"/>
      <c r="N740" s="12"/>
      <c r="O740" s="12"/>
      <c r="P740" s="12"/>
      <c r="Q740" s="13"/>
    </row>
    <row r="741" spans="9:17" ht="15.75" customHeight="1" x14ac:dyDescent="0.2">
      <c r="I741" s="14"/>
      <c r="J741" s="14"/>
      <c r="M741" s="12"/>
      <c r="N741" s="12"/>
      <c r="O741" s="12"/>
      <c r="P741" s="12"/>
      <c r="Q741" s="13"/>
    </row>
    <row r="742" spans="9:17" ht="15.75" customHeight="1" x14ac:dyDescent="0.2">
      <c r="I742" s="14"/>
      <c r="J742" s="14"/>
      <c r="M742" s="12"/>
      <c r="N742" s="12"/>
      <c r="O742" s="12"/>
      <c r="P742" s="12"/>
      <c r="Q742" s="13"/>
    </row>
    <row r="743" spans="9:17" ht="15.75" customHeight="1" x14ac:dyDescent="0.2">
      <c r="I743" s="14"/>
      <c r="J743" s="14"/>
      <c r="M743" s="12"/>
      <c r="N743" s="12"/>
      <c r="O743" s="12"/>
      <c r="P743" s="12"/>
      <c r="Q743" s="13"/>
    </row>
    <row r="744" spans="9:17" ht="15.75" customHeight="1" x14ac:dyDescent="0.2">
      <c r="I744" s="14"/>
      <c r="J744" s="14"/>
      <c r="M744" s="12"/>
      <c r="N744" s="12"/>
      <c r="O744" s="12"/>
      <c r="P744" s="12"/>
      <c r="Q744" s="13"/>
    </row>
    <row r="745" spans="9:17" ht="15.75" customHeight="1" x14ac:dyDescent="0.2">
      <c r="I745" s="14"/>
      <c r="J745" s="14"/>
      <c r="M745" s="12"/>
      <c r="N745" s="12"/>
      <c r="O745" s="12"/>
      <c r="P745" s="12"/>
      <c r="Q745" s="13"/>
    </row>
    <row r="746" spans="9:17" ht="15.75" customHeight="1" x14ac:dyDescent="0.2">
      <c r="I746" s="14"/>
      <c r="J746" s="14"/>
      <c r="M746" s="12"/>
      <c r="N746" s="12"/>
      <c r="O746" s="12"/>
      <c r="P746" s="12"/>
      <c r="Q746" s="13"/>
    </row>
    <row r="747" spans="9:17" ht="15.75" customHeight="1" x14ac:dyDescent="0.2">
      <c r="I747" s="14"/>
      <c r="J747" s="14"/>
      <c r="M747" s="12"/>
      <c r="N747" s="12"/>
      <c r="O747" s="12"/>
      <c r="P747" s="12"/>
      <c r="Q747" s="13"/>
    </row>
    <row r="748" spans="9:17" ht="15.75" customHeight="1" x14ac:dyDescent="0.2">
      <c r="I748" s="14"/>
      <c r="J748" s="14"/>
      <c r="M748" s="12"/>
      <c r="N748" s="12"/>
      <c r="O748" s="12"/>
      <c r="P748" s="12"/>
      <c r="Q748" s="13"/>
    </row>
    <row r="749" spans="9:17" ht="15.75" customHeight="1" x14ac:dyDescent="0.2">
      <c r="I749" s="14"/>
      <c r="J749" s="14"/>
      <c r="M749" s="12"/>
      <c r="N749" s="12"/>
      <c r="O749" s="12"/>
      <c r="P749" s="12"/>
      <c r="Q749" s="13"/>
    </row>
    <row r="750" spans="9:17" ht="15.75" customHeight="1" x14ac:dyDescent="0.2">
      <c r="I750" s="14"/>
      <c r="J750" s="14"/>
      <c r="M750" s="12"/>
      <c r="N750" s="12"/>
      <c r="O750" s="12"/>
      <c r="P750" s="12"/>
      <c r="Q750" s="13"/>
    </row>
    <row r="751" spans="9:17" ht="15.75" customHeight="1" x14ac:dyDescent="0.2">
      <c r="I751" s="14"/>
      <c r="J751" s="14"/>
      <c r="M751" s="12"/>
      <c r="N751" s="12"/>
      <c r="O751" s="12"/>
      <c r="P751" s="12"/>
      <c r="Q751" s="13"/>
    </row>
    <row r="752" spans="9:17" ht="15.75" customHeight="1" x14ac:dyDescent="0.2">
      <c r="I752" s="14"/>
      <c r="J752" s="14"/>
      <c r="M752" s="12"/>
      <c r="N752" s="12"/>
      <c r="O752" s="12"/>
      <c r="P752" s="12"/>
      <c r="Q752" s="13"/>
    </row>
    <row r="753" spans="9:17" ht="15.75" customHeight="1" x14ac:dyDescent="0.2">
      <c r="I753" s="14"/>
      <c r="J753" s="14"/>
      <c r="M753" s="12"/>
      <c r="N753" s="12"/>
      <c r="O753" s="12"/>
      <c r="P753" s="12"/>
      <c r="Q753" s="13"/>
    </row>
    <row r="754" spans="9:17" ht="15.75" customHeight="1" x14ac:dyDescent="0.2">
      <c r="I754" s="14"/>
      <c r="J754" s="14"/>
      <c r="M754" s="12"/>
      <c r="N754" s="12"/>
      <c r="O754" s="12"/>
      <c r="P754" s="12"/>
      <c r="Q754" s="13"/>
    </row>
    <row r="755" spans="9:17" ht="15.75" customHeight="1" x14ac:dyDescent="0.2">
      <c r="I755" s="14"/>
      <c r="J755" s="14"/>
      <c r="M755" s="12"/>
      <c r="N755" s="12"/>
      <c r="O755" s="12"/>
      <c r="P755" s="12"/>
      <c r="Q755" s="13"/>
    </row>
    <row r="756" spans="9:17" ht="15.75" customHeight="1" x14ac:dyDescent="0.2">
      <c r="I756" s="14"/>
      <c r="J756" s="14"/>
      <c r="M756" s="12"/>
      <c r="N756" s="12"/>
      <c r="O756" s="12"/>
      <c r="P756" s="12"/>
      <c r="Q756" s="13"/>
    </row>
    <row r="757" spans="9:17" ht="15.75" customHeight="1" x14ac:dyDescent="0.2">
      <c r="I757" s="14"/>
      <c r="J757" s="14"/>
      <c r="M757" s="12"/>
      <c r="N757" s="12"/>
      <c r="O757" s="12"/>
      <c r="P757" s="12"/>
      <c r="Q757" s="13"/>
    </row>
    <row r="758" spans="9:17" ht="15.75" customHeight="1" x14ac:dyDescent="0.2">
      <c r="I758" s="14"/>
      <c r="J758" s="14"/>
      <c r="M758" s="12"/>
      <c r="N758" s="12"/>
      <c r="O758" s="12"/>
      <c r="P758" s="12"/>
      <c r="Q758" s="13"/>
    </row>
    <row r="759" spans="9:17" ht="15.75" customHeight="1" x14ac:dyDescent="0.2">
      <c r="I759" s="14"/>
      <c r="J759" s="14"/>
      <c r="M759" s="12"/>
      <c r="N759" s="12"/>
      <c r="O759" s="12"/>
      <c r="P759" s="12"/>
      <c r="Q759" s="13"/>
    </row>
    <row r="760" spans="9:17" ht="15.75" customHeight="1" x14ac:dyDescent="0.2">
      <c r="I760" s="14"/>
      <c r="J760" s="14"/>
      <c r="M760" s="12"/>
      <c r="N760" s="12"/>
      <c r="O760" s="12"/>
      <c r="P760" s="12"/>
      <c r="Q760" s="13"/>
    </row>
    <row r="761" spans="9:17" ht="15.75" customHeight="1" x14ac:dyDescent="0.2">
      <c r="I761" s="14"/>
      <c r="J761" s="14"/>
      <c r="M761" s="12"/>
      <c r="N761" s="12"/>
      <c r="O761" s="12"/>
      <c r="P761" s="12"/>
      <c r="Q761" s="13"/>
    </row>
    <row r="762" spans="9:17" ht="15.75" customHeight="1" x14ac:dyDescent="0.2">
      <c r="I762" s="14"/>
      <c r="J762" s="14"/>
      <c r="M762" s="12"/>
      <c r="N762" s="12"/>
      <c r="O762" s="12"/>
      <c r="P762" s="12"/>
      <c r="Q762" s="13"/>
    </row>
    <row r="763" spans="9:17" ht="15.75" customHeight="1" x14ac:dyDescent="0.2">
      <c r="I763" s="14"/>
      <c r="J763" s="14"/>
      <c r="M763" s="12"/>
      <c r="N763" s="12"/>
      <c r="O763" s="12"/>
      <c r="P763" s="12"/>
      <c r="Q763" s="13"/>
    </row>
    <row r="764" spans="9:17" ht="15.75" customHeight="1" x14ac:dyDescent="0.2">
      <c r="I764" s="14"/>
      <c r="J764" s="14"/>
      <c r="M764" s="12"/>
      <c r="N764" s="12"/>
      <c r="O764" s="12"/>
      <c r="P764" s="12"/>
      <c r="Q764" s="13"/>
    </row>
    <row r="765" spans="9:17" ht="15.75" customHeight="1" x14ac:dyDescent="0.2">
      <c r="I765" s="14"/>
      <c r="J765" s="14"/>
      <c r="M765" s="12"/>
      <c r="N765" s="12"/>
      <c r="O765" s="12"/>
      <c r="P765" s="12"/>
      <c r="Q765" s="13"/>
    </row>
    <row r="766" spans="9:17" ht="15.75" customHeight="1" x14ac:dyDescent="0.2">
      <c r="I766" s="14"/>
      <c r="J766" s="14"/>
      <c r="M766" s="12"/>
      <c r="N766" s="12"/>
      <c r="O766" s="12"/>
      <c r="P766" s="12"/>
      <c r="Q766" s="13"/>
    </row>
    <row r="767" spans="9:17" ht="15.75" customHeight="1" x14ac:dyDescent="0.2">
      <c r="I767" s="14"/>
      <c r="J767" s="14"/>
      <c r="M767" s="12"/>
      <c r="N767" s="12"/>
      <c r="O767" s="12"/>
      <c r="P767" s="12"/>
      <c r="Q767" s="13"/>
    </row>
    <row r="768" spans="9:17" ht="15.75" customHeight="1" x14ac:dyDescent="0.2">
      <c r="I768" s="14"/>
      <c r="J768" s="14"/>
      <c r="M768" s="12"/>
      <c r="N768" s="12"/>
      <c r="O768" s="12"/>
      <c r="P768" s="12"/>
      <c r="Q768" s="13"/>
    </row>
    <row r="769" spans="9:17" ht="15.75" customHeight="1" x14ac:dyDescent="0.2">
      <c r="I769" s="14"/>
      <c r="J769" s="14"/>
      <c r="M769" s="12"/>
      <c r="N769" s="12"/>
      <c r="O769" s="12"/>
      <c r="P769" s="12"/>
      <c r="Q769" s="13"/>
    </row>
    <row r="770" spans="9:17" ht="15.75" customHeight="1" x14ac:dyDescent="0.2">
      <c r="I770" s="14"/>
      <c r="J770" s="14"/>
      <c r="M770" s="12"/>
      <c r="N770" s="12"/>
      <c r="O770" s="12"/>
      <c r="P770" s="12"/>
      <c r="Q770" s="13"/>
    </row>
    <row r="771" spans="9:17" ht="15.75" customHeight="1" x14ac:dyDescent="0.2">
      <c r="I771" s="14"/>
      <c r="J771" s="14"/>
      <c r="M771" s="12"/>
      <c r="N771" s="12"/>
      <c r="O771" s="12"/>
      <c r="P771" s="12"/>
      <c r="Q771" s="13"/>
    </row>
    <row r="772" spans="9:17" ht="15.75" customHeight="1" x14ac:dyDescent="0.2">
      <c r="I772" s="14"/>
      <c r="J772" s="14"/>
      <c r="M772" s="12"/>
      <c r="N772" s="12"/>
      <c r="O772" s="12"/>
      <c r="P772" s="12"/>
      <c r="Q772" s="13"/>
    </row>
    <row r="773" spans="9:17" ht="15.75" customHeight="1" x14ac:dyDescent="0.2">
      <c r="I773" s="14"/>
      <c r="J773" s="14"/>
      <c r="M773" s="12"/>
      <c r="N773" s="12"/>
      <c r="O773" s="12"/>
      <c r="P773" s="12"/>
      <c r="Q773" s="13"/>
    </row>
    <row r="774" spans="9:17" ht="15.75" customHeight="1" x14ac:dyDescent="0.2">
      <c r="I774" s="14"/>
      <c r="J774" s="14"/>
      <c r="M774" s="12"/>
      <c r="N774" s="12"/>
      <c r="O774" s="12"/>
      <c r="P774" s="12"/>
      <c r="Q774" s="13"/>
    </row>
    <row r="775" spans="9:17" ht="15.75" customHeight="1" x14ac:dyDescent="0.2">
      <c r="I775" s="14"/>
      <c r="J775" s="14"/>
      <c r="M775" s="12"/>
      <c r="N775" s="12"/>
      <c r="O775" s="12"/>
      <c r="P775" s="12"/>
      <c r="Q775" s="13"/>
    </row>
    <row r="776" spans="9:17" ht="15.75" customHeight="1" x14ac:dyDescent="0.2">
      <c r="I776" s="14"/>
      <c r="J776" s="14"/>
      <c r="M776" s="12"/>
      <c r="N776" s="12"/>
      <c r="O776" s="12"/>
      <c r="P776" s="12"/>
      <c r="Q776" s="13"/>
    </row>
    <row r="777" spans="9:17" ht="15.75" customHeight="1" x14ac:dyDescent="0.2">
      <c r="I777" s="14"/>
      <c r="J777" s="14"/>
      <c r="M777" s="12"/>
      <c r="N777" s="12"/>
      <c r="O777" s="12"/>
      <c r="P777" s="12"/>
      <c r="Q777" s="13"/>
    </row>
    <row r="778" spans="9:17" ht="15.75" customHeight="1" x14ac:dyDescent="0.2">
      <c r="I778" s="14"/>
      <c r="J778" s="14"/>
      <c r="M778" s="12"/>
      <c r="N778" s="12"/>
      <c r="O778" s="12"/>
      <c r="P778" s="12"/>
      <c r="Q778" s="13"/>
    </row>
    <row r="779" spans="9:17" ht="15.75" customHeight="1" x14ac:dyDescent="0.2">
      <c r="I779" s="14"/>
      <c r="J779" s="14"/>
      <c r="M779" s="12"/>
      <c r="N779" s="12"/>
      <c r="O779" s="12"/>
      <c r="P779" s="12"/>
      <c r="Q779" s="13"/>
    </row>
    <row r="780" spans="9:17" ht="15.75" customHeight="1" x14ac:dyDescent="0.2">
      <c r="I780" s="14"/>
      <c r="J780" s="14"/>
      <c r="M780" s="12"/>
      <c r="N780" s="12"/>
      <c r="O780" s="12"/>
      <c r="P780" s="12"/>
      <c r="Q780" s="13"/>
    </row>
    <row r="781" spans="9:17" ht="15.75" customHeight="1" x14ac:dyDescent="0.2">
      <c r="I781" s="14"/>
      <c r="J781" s="14"/>
      <c r="M781" s="12"/>
      <c r="N781" s="12"/>
      <c r="O781" s="12"/>
      <c r="P781" s="12"/>
      <c r="Q781" s="13"/>
    </row>
    <row r="782" spans="9:17" ht="15.75" customHeight="1" x14ac:dyDescent="0.2">
      <c r="I782" s="14"/>
      <c r="J782" s="14"/>
      <c r="M782" s="12"/>
      <c r="N782" s="12"/>
      <c r="O782" s="12"/>
      <c r="P782" s="12"/>
      <c r="Q782" s="13"/>
    </row>
    <row r="783" spans="9:17" ht="15.75" customHeight="1" x14ac:dyDescent="0.2">
      <c r="I783" s="14"/>
      <c r="J783" s="14"/>
      <c r="M783" s="12"/>
      <c r="N783" s="12"/>
      <c r="O783" s="12"/>
      <c r="P783" s="12"/>
      <c r="Q783" s="13"/>
    </row>
    <row r="784" spans="9:17" ht="15.75" customHeight="1" x14ac:dyDescent="0.2">
      <c r="I784" s="14"/>
      <c r="J784" s="14"/>
      <c r="M784" s="12"/>
      <c r="N784" s="12"/>
      <c r="O784" s="12"/>
      <c r="P784" s="12"/>
      <c r="Q784" s="13"/>
    </row>
    <row r="785" spans="9:17" ht="15.75" customHeight="1" x14ac:dyDescent="0.2">
      <c r="I785" s="14"/>
      <c r="J785" s="14"/>
      <c r="M785" s="12"/>
      <c r="N785" s="12"/>
      <c r="O785" s="12"/>
      <c r="P785" s="12"/>
      <c r="Q785" s="13"/>
    </row>
    <row r="786" spans="9:17" ht="15.75" customHeight="1" x14ac:dyDescent="0.2">
      <c r="I786" s="14"/>
      <c r="J786" s="14"/>
      <c r="M786" s="12"/>
      <c r="N786" s="12"/>
      <c r="O786" s="12"/>
      <c r="P786" s="12"/>
      <c r="Q786" s="13"/>
    </row>
    <row r="787" spans="9:17" ht="15.75" customHeight="1" x14ac:dyDescent="0.2">
      <c r="I787" s="14"/>
      <c r="J787" s="14"/>
      <c r="M787" s="12"/>
      <c r="N787" s="12"/>
      <c r="O787" s="12"/>
      <c r="P787" s="12"/>
      <c r="Q787" s="13"/>
    </row>
    <row r="788" spans="9:17" ht="15.75" customHeight="1" x14ac:dyDescent="0.2">
      <c r="I788" s="14"/>
      <c r="J788" s="14"/>
      <c r="M788" s="12"/>
      <c r="N788" s="12"/>
      <c r="O788" s="12"/>
      <c r="P788" s="12"/>
      <c r="Q788" s="13"/>
    </row>
    <row r="789" spans="9:17" ht="15.75" customHeight="1" x14ac:dyDescent="0.2">
      <c r="I789" s="14"/>
      <c r="J789" s="14"/>
      <c r="M789" s="12"/>
      <c r="N789" s="12"/>
      <c r="O789" s="12"/>
      <c r="P789" s="12"/>
      <c r="Q789" s="13"/>
    </row>
    <row r="790" spans="9:17" ht="15.75" customHeight="1" x14ac:dyDescent="0.2">
      <c r="I790" s="14"/>
      <c r="J790" s="14"/>
      <c r="M790" s="12"/>
      <c r="N790" s="12"/>
      <c r="O790" s="12"/>
      <c r="P790" s="12"/>
      <c r="Q790" s="13"/>
    </row>
    <row r="791" spans="9:17" ht="15.75" customHeight="1" x14ac:dyDescent="0.2">
      <c r="I791" s="14"/>
      <c r="J791" s="14"/>
      <c r="M791" s="12"/>
      <c r="N791" s="12"/>
      <c r="O791" s="12"/>
      <c r="P791" s="12"/>
      <c r="Q791" s="13"/>
    </row>
    <row r="792" spans="9:17" ht="15.75" customHeight="1" x14ac:dyDescent="0.2">
      <c r="I792" s="14"/>
      <c r="J792" s="14"/>
      <c r="M792" s="12"/>
      <c r="N792" s="12"/>
      <c r="O792" s="12"/>
      <c r="P792" s="12"/>
      <c r="Q792" s="13"/>
    </row>
    <row r="793" spans="9:17" ht="15.75" customHeight="1" x14ac:dyDescent="0.2">
      <c r="I793" s="14"/>
      <c r="J793" s="14"/>
      <c r="M793" s="12"/>
      <c r="N793" s="12"/>
      <c r="O793" s="12"/>
      <c r="P793" s="12"/>
      <c r="Q793" s="13"/>
    </row>
    <row r="794" spans="9:17" ht="15.75" customHeight="1" x14ac:dyDescent="0.2">
      <c r="I794" s="14"/>
      <c r="J794" s="14"/>
      <c r="M794" s="12"/>
      <c r="N794" s="12"/>
      <c r="O794" s="12"/>
      <c r="P794" s="12"/>
      <c r="Q794" s="13"/>
    </row>
    <row r="795" spans="9:17" ht="15.75" customHeight="1" x14ac:dyDescent="0.2">
      <c r="I795" s="14"/>
      <c r="J795" s="14"/>
      <c r="M795" s="12"/>
      <c r="N795" s="12"/>
      <c r="O795" s="12"/>
      <c r="P795" s="12"/>
      <c r="Q795" s="13"/>
    </row>
    <row r="796" spans="9:17" ht="15.75" customHeight="1" x14ac:dyDescent="0.2">
      <c r="I796" s="14"/>
      <c r="J796" s="14"/>
      <c r="M796" s="12"/>
      <c r="N796" s="12"/>
      <c r="O796" s="12"/>
      <c r="P796" s="12"/>
      <c r="Q796" s="13"/>
    </row>
    <row r="797" spans="9:17" ht="15.75" customHeight="1" x14ac:dyDescent="0.2">
      <c r="I797" s="14"/>
      <c r="J797" s="14"/>
      <c r="M797" s="12"/>
      <c r="N797" s="12"/>
      <c r="O797" s="12"/>
      <c r="P797" s="12"/>
      <c r="Q797" s="13"/>
    </row>
    <row r="798" spans="9:17" ht="15.75" customHeight="1" x14ac:dyDescent="0.2">
      <c r="I798" s="14"/>
      <c r="J798" s="14"/>
      <c r="M798" s="12"/>
      <c r="N798" s="12"/>
      <c r="O798" s="12"/>
      <c r="P798" s="12"/>
      <c r="Q798" s="13"/>
    </row>
    <row r="799" spans="9:17" ht="15.75" customHeight="1" x14ac:dyDescent="0.2">
      <c r="I799" s="14"/>
      <c r="J799" s="14"/>
      <c r="M799" s="12"/>
      <c r="N799" s="12"/>
      <c r="O799" s="12"/>
      <c r="P799" s="12"/>
      <c r="Q799" s="13"/>
    </row>
    <row r="800" spans="9:17" ht="15.75" customHeight="1" x14ac:dyDescent="0.2">
      <c r="I800" s="14"/>
      <c r="J800" s="14"/>
      <c r="M800" s="12"/>
      <c r="N800" s="12"/>
      <c r="O800" s="12"/>
      <c r="P800" s="12"/>
      <c r="Q800" s="13"/>
    </row>
    <row r="801" spans="9:17" ht="15.75" customHeight="1" x14ac:dyDescent="0.2">
      <c r="I801" s="14"/>
      <c r="J801" s="14"/>
      <c r="M801" s="12"/>
      <c r="N801" s="12"/>
      <c r="O801" s="12"/>
      <c r="P801" s="12"/>
      <c r="Q801" s="13"/>
    </row>
    <row r="802" spans="9:17" ht="15.75" customHeight="1" x14ac:dyDescent="0.2">
      <c r="I802" s="14"/>
      <c r="J802" s="14"/>
      <c r="M802" s="12"/>
      <c r="N802" s="12"/>
      <c r="O802" s="12"/>
      <c r="P802" s="12"/>
      <c r="Q802" s="13"/>
    </row>
    <row r="803" spans="9:17" ht="15.75" customHeight="1" x14ac:dyDescent="0.2">
      <c r="I803" s="14"/>
      <c r="J803" s="14"/>
      <c r="M803" s="12"/>
      <c r="N803" s="12"/>
      <c r="O803" s="12"/>
      <c r="P803" s="12"/>
      <c r="Q803" s="13"/>
    </row>
    <row r="804" spans="9:17" ht="15.75" customHeight="1" x14ac:dyDescent="0.2">
      <c r="I804" s="14"/>
      <c r="J804" s="14"/>
      <c r="M804" s="12"/>
      <c r="N804" s="12"/>
      <c r="O804" s="12"/>
      <c r="P804" s="12"/>
      <c r="Q804" s="13"/>
    </row>
    <row r="805" spans="9:17" ht="15.75" customHeight="1" x14ac:dyDescent="0.2">
      <c r="I805" s="14"/>
      <c r="J805" s="14"/>
      <c r="M805" s="12"/>
      <c r="N805" s="12"/>
      <c r="O805" s="12"/>
      <c r="P805" s="12"/>
      <c r="Q805" s="13"/>
    </row>
    <row r="806" spans="9:17" ht="15.75" customHeight="1" x14ac:dyDescent="0.2">
      <c r="I806" s="14"/>
      <c r="J806" s="14"/>
      <c r="M806" s="12"/>
      <c r="N806" s="12"/>
      <c r="O806" s="12"/>
      <c r="P806" s="12"/>
      <c r="Q806" s="13"/>
    </row>
    <row r="807" spans="9:17" ht="15.75" customHeight="1" x14ac:dyDescent="0.2">
      <c r="I807" s="14"/>
      <c r="J807" s="14"/>
      <c r="M807" s="12"/>
      <c r="N807" s="12"/>
      <c r="O807" s="12"/>
      <c r="P807" s="12"/>
      <c r="Q807" s="13"/>
    </row>
    <row r="808" spans="9:17" ht="15.75" customHeight="1" x14ac:dyDescent="0.2">
      <c r="I808" s="14"/>
      <c r="J808" s="14"/>
      <c r="M808" s="12"/>
      <c r="N808" s="12"/>
      <c r="O808" s="12"/>
      <c r="P808" s="12"/>
      <c r="Q808" s="13"/>
    </row>
    <row r="809" spans="9:17" ht="15.75" customHeight="1" x14ac:dyDescent="0.2">
      <c r="I809" s="14"/>
      <c r="J809" s="14"/>
      <c r="M809" s="12"/>
      <c r="N809" s="12"/>
      <c r="O809" s="12"/>
      <c r="P809" s="12"/>
      <c r="Q809" s="13"/>
    </row>
    <row r="810" spans="9:17" ht="15.75" customHeight="1" x14ac:dyDescent="0.2">
      <c r="I810" s="14"/>
      <c r="J810" s="14"/>
      <c r="M810" s="12"/>
      <c r="N810" s="12"/>
      <c r="O810" s="12"/>
      <c r="P810" s="12"/>
      <c r="Q810" s="13"/>
    </row>
    <row r="811" spans="9:17" ht="15.75" customHeight="1" x14ac:dyDescent="0.2">
      <c r="I811" s="14"/>
      <c r="J811" s="14"/>
      <c r="M811" s="12"/>
      <c r="N811" s="12"/>
      <c r="O811" s="12"/>
      <c r="P811" s="12"/>
      <c r="Q811" s="13"/>
    </row>
    <row r="812" spans="9:17" ht="15.75" customHeight="1" x14ac:dyDescent="0.2">
      <c r="I812" s="14"/>
      <c r="J812" s="14"/>
      <c r="M812" s="12"/>
      <c r="N812" s="12"/>
      <c r="O812" s="12"/>
      <c r="P812" s="12"/>
      <c r="Q812" s="13"/>
    </row>
    <row r="813" spans="9:17" ht="15.75" customHeight="1" x14ac:dyDescent="0.2">
      <c r="I813" s="14"/>
      <c r="J813" s="14"/>
      <c r="M813" s="12"/>
      <c r="N813" s="12"/>
      <c r="O813" s="12"/>
      <c r="P813" s="12"/>
      <c r="Q813" s="13"/>
    </row>
    <row r="814" spans="9:17" ht="15.75" customHeight="1" x14ac:dyDescent="0.2">
      <c r="I814" s="14"/>
      <c r="J814" s="14"/>
      <c r="M814" s="12"/>
      <c r="N814" s="12"/>
      <c r="O814" s="12"/>
      <c r="P814" s="12"/>
      <c r="Q814" s="13"/>
    </row>
    <row r="815" spans="9:17" ht="15.75" customHeight="1" x14ac:dyDescent="0.2">
      <c r="I815" s="14"/>
      <c r="J815" s="14"/>
      <c r="M815" s="12"/>
      <c r="N815" s="12"/>
      <c r="O815" s="12"/>
      <c r="P815" s="12"/>
      <c r="Q815" s="13"/>
    </row>
    <row r="816" spans="9:17" ht="15.75" customHeight="1" x14ac:dyDescent="0.2">
      <c r="I816" s="14"/>
      <c r="J816" s="14"/>
      <c r="M816" s="12"/>
      <c r="N816" s="12"/>
      <c r="O816" s="12"/>
      <c r="P816" s="12"/>
      <c r="Q816" s="13"/>
    </row>
    <row r="817" spans="9:17" ht="15.75" customHeight="1" x14ac:dyDescent="0.2">
      <c r="I817" s="14"/>
      <c r="J817" s="14"/>
      <c r="M817" s="12"/>
      <c r="N817" s="12"/>
      <c r="O817" s="12"/>
      <c r="P817" s="12"/>
      <c r="Q817" s="13"/>
    </row>
    <row r="818" spans="9:17" ht="15.75" customHeight="1" x14ac:dyDescent="0.2">
      <c r="I818" s="14"/>
      <c r="J818" s="14"/>
      <c r="M818" s="12"/>
      <c r="N818" s="12"/>
      <c r="O818" s="12"/>
      <c r="P818" s="12"/>
      <c r="Q818" s="13"/>
    </row>
    <row r="819" spans="9:17" ht="15.75" customHeight="1" x14ac:dyDescent="0.2">
      <c r="I819" s="14"/>
      <c r="J819" s="14"/>
      <c r="M819" s="12"/>
      <c r="N819" s="12"/>
      <c r="O819" s="12"/>
      <c r="P819" s="12"/>
      <c r="Q819" s="13"/>
    </row>
    <row r="820" spans="9:17" ht="15.75" customHeight="1" x14ac:dyDescent="0.2">
      <c r="I820" s="14"/>
      <c r="J820" s="14"/>
      <c r="M820" s="12"/>
      <c r="N820" s="12"/>
      <c r="O820" s="12"/>
      <c r="P820" s="12"/>
      <c r="Q820" s="13"/>
    </row>
    <row r="821" spans="9:17" ht="15.75" customHeight="1" x14ac:dyDescent="0.2">
      <c r="I821" s="14"/>
      <c r="J821" s="14"/>
      <c r="M821" s="12"/>
      <c r="N821" s="12"/>
      <c r="O821" s="12"/>
      <c r="P821" s="12"/>
      <c r="Q821" s="13"/>
    </row>
    <row r="822" spans="9:17" ht="15.75" customHeight="1" x14ac:dyDescent="0.2">
      <c r="I822" s="14"/>
      <c r="J822" s="14"/>
      <c r="M822" s="12"/>
      <c r="N822" s="12"/>
      <c r="O822" s="12"/>
      <c r="P822" s="12"/>
      <c r="Q822" s="13"/>
    </row>
    <row r="823" spans="9:17" ht="15.75" customHeight="1" x14ac:dyDescent="0.2">
      <c r="I823" s="14"/>
      <c r="J823" s="14"/>
      <c r="M823" s="12"/>
      <c r="N823" s="12"/>
      <c r="O823" s="12"/>
      <c r="P823" s="12"/>
      <c r="Q823" s="13"/>
    </row>
    <row r="824" spans="9:17" ht="15.75" customHeight="1" x14ac:dyDescent="0.2">
      <c r="I824" s="14"/>
      <c r="J824" s="14"/>
      <c r="M824" s="12"/>
      <c r="N824" s="12"/>
      <c r="O824" s="12"/>
      <c r="P824" s="12"/>
      <c r="Q824" s="13"/>
    </row>
    <row r="825" spans="9:17" ht="15.75" customHeight="1" x14ac:dyDescent="0.2">
      <c r="I825" s="14"/>
      <c r="J825" s="14"/>
      <c r="M825" s="12"/>
      <c r="N825" s="12"/>
      <c r="O825" s="12"/>
      <c r="P825" s="12"/>
      <c r="Q825" s="13"/>
    </row>
    <row r="826" spans="9:17" ht="15.75" customHeight="1" x14ac:dyDescent="0.2">
      <c r="I826" s="14"/>
      <c r="J826" s="14"/>
      <c r="M826" s="12"/>
      <c r="N826" s="12"/>
      <c r="O826" s="12"/>
      <c r="P826" s="12"/>
      <c r="Q826" s="13"/>
    </row>
    <row r="827" spans="9:17" ht="15.75" customHeight="1" x14ac:dyDescent="0.2">
      <c r="I827" s="14"/>
      <c r="J827" s="14"/>
      <c r="M827" s="12"/>
      <c r="N827" s="12"/>
      <c r="O827" s="12"/>
      <c r="P827" s="12"/>
      <c r="Q827" s="13"/>
    </row>
    <row r="828" spans="9:17" ht="15.75" customHeight="1" x14ac:dyDescent="0.2">
      <c r="I828" s="14"/>
      <c r="J828" s="14"/>
      <c r="M828" s="12"/>
      <c r="N828" s="12"/>
      <c r="O828" s="12"/>
      <c r="P828" s="12"/>
      <c r="Q828" s="13"/>
    </row>
    <row r="829" spans="9:17" ht="15.75" customHeight="1" x14ac:dyDescent="0.2">
      <c r="I829" s="14"/>
      <c r="J829" s="14"/>
      <c r="M829" s="12"/>
      <c r="N829" s="12"/>
      <c r="O829" s="12"/>
      <c r="P829" s="12"/>
      <c r="Q829" s="13"/>
    </row>
    <row r="830" spans="9:17" ht="15.75" customHeight="1" x14ac:dyDescent="0.2">
      <c r="I830" s="14"/>
      <c r="J830" s="14"/>
      <c r="M830" s="12"/>
      <c r="N830" s="12"/>
      <c r="O830" s="12"/>
      <c r="P830" s="12"/>
      <c r="Q830" s="13"/>
    </row>
    <row r="831" spans="9:17" ht="15.75" customHeight="1" x14ac:dyDescent="0.2">
      <c r="I831" s="14"/>
      <c r="J831" s="14"/>
      <c r="M831" s="12"/>
      <c r="N831" s="12"/>
      <c r="O831" s="12"/>
      <c r="P831" s="12"/>
      <c r="Q831" s="13"/>
    </row>
    <row r="832" spans="9:17" ht="15.75" customHeight="1" x14ac:dyDescent="0.2">
      <c r="I832" s="14"/>
      <c r="J832" s="14"/>
      <c r="M832" s="12"/>
      <c r="N832" s="12"/>
      <c r="O832" s="12"/>
      <c r="P832" s="12"/>
      <c r="Q832" s="13"/>
    </row>
    <row r="833" spans="9:17" ht="15.75" customHeight="1" x14ac:dyDescent="0.2">
      <c r="I833" s="14"/>
      <c r="J833" s="14"/>
      <c r="M833" s="12"/>
      <c r="N833" s="12"/>
      <c r="O833" s="12"/>
      <c r="P833" s="12"/>
      <c r="Q833" s="13"/>
    </row>
    <row r="834" spans="9:17" ht="15.75" customHeight="1" x14ac:dyDescent="0.2">
      <c r="I834" s="14"/>
      <c r="J834" s="14"/>
      <c r="M834" s="12"/>
      <c r="N834" s="12"/>
      <c r="O834" s="12"/>
      <c r="P834" s="12"/>
      <c r="Q834" s="13"/>
    </row>
    <row r="835" spans="9:17" ht="15.75" customHeight="1" x14ac:dyDescent="0.2">
      <c r="I835" s="14"/>
      <c r="J835" s="14"/>
      <c r="M835" s="12"/>
      <c r="N835" s="12"/>
      <c r="O835" s="12"/>
      <c r="P835" s="12"/>
      <c r="Q835" s="13"/>
    </row>
    <row r="836" spans="9:17" ht="15.75" customHeight="1" x14ac:dyDescent="0.2">
      <c r="I836" s="14"/>
      <c r="J836" s="14"/>
      <c r="M836" s="12"/>
      <c r="N836" s="12"/>
      <c r="O836" s="12"/>
      <c r="P836" s="12"/>
      <c r="Q836" s="13"/>
    </row>
    <row r="837" spans="9:17" ht="15.75" customHeight="1" x14ac:dyDescent="0.2">
      <c r="I837" s="14"/>
      <c r="J837" s="14"/>
      <c r="M837" s="12"/>
      <c r="N837" s="12"/>
      <c r="O837" s="12"/>
      <c r="P837" s="12"/>
      <c r="Q837" s="13"/>
    </row>
    <row r="838" spans="9:17" ht="15.75" customHeight="1" x14ac:dyDescent="0.2">
      <c r="I838" s="14"/>
      <c r="J838" s="14"/>
      <c r="M838" s="12"/>
      <c r="N838" s="12"/>
      <c r="O838" s="12"/>
      <c r="P838" s="12"/>
      <c r="Q838" s="13"/>
    </row>
    <row r="839" spans="9:17" ht="15.75" customHeight="1" x14ac:dyDescent="0.2">
      <c r="I839" s="14"/>
      <c r="J839" s="14"/>
      <c r="M839" s="12"/>
      <c r="N839" s="12"/>
      <c r="O839" s="12"/>
      <c r="P839" s="12"/>
      <c r="Q839" s="13"/>
    </row>
    <row r="840" spans="9:17" ht="15.75" customHeight="1" x14ac:dyDescent="0.2">
      <c r="I840" s="14"/>
      <c r="J840" s="14"/>
      <c r="M840" s="12"/>
      <c r="N840" s="12"/>
      <c r="O840" s="12"/>
      <c r="P840" s="12"/>
      <c r="Q840" s="13"/>
    </row>
    <row r="841" spans="9:17" ht="15.75" customHeight="1" x14ac:dyDescent="0.2">
      <c r="I841" s="14"/>
      <c r="J841" s="14"/>
      <c r="M841" s="12"/>
      <c r="N841" s="12"/>
      <c r="O841" s="12"/>
      <c r="P841" s="12"/>
      <c r="Q841" s="13"/>
    </row>
    <row r="842" spans="9:17" ht="15.75" customHeight="1" x14ac:dyDescent="0.2">
      <c r="I842" s="14"/>
      <c r="J842" s="14"/>
      <c r="M842" s="12"/>
      <c r="N842" s="12"/>
      <c r="O842" s="12"/>
      <c r="P842" s="12"/>
      <c r="Q842" s="13"/>
    </row>
    <row r="843" spans="9:17" ht="15.75" customHeight="1" x14ac:dyDescent="0.2">
      <c r="I843" s="14"/>
      <c r="J843" s="14"/>
      <c r="M843" s="12"/>
      <c r="N843" s="12"/>
      <c r="O843" s="12"/>
      <c r="P843" s="12"/>
      <c r="Q843" s="13"/>
    </row>
    <row r="844" spans="9:17" ht="15.75" customHeight="1" x14ac:dyDescent="0.2">
      <c r="I844" s="14"/>
      <c r="J844" s="14"/>
      <c r="M844" s="12"/>
      <c r="N844" s="12"/>
      <c r="O844" s="12"/>
      <c r="P844" s="12"/>
      <c r="Q844" s="13"/>
    </row>
    <row r="845" spans="9:17" ht="15.75" customHeight="1" x14ac:dyDescent="0.2">
      <c r="I845" s="14"/>
      <c r="J845" s="14"/>
      <c r="M845" s="12"/>
      <c r="N845" s="12"/>
      <c r="O845" s="12"/>
      <c r="P845" s="12"/>
      <c r="Q845" s="13"/>
    </row>
    <row r="846" spans="9:17" ht="15.75" customHeight="1" x14ac:dyDescent="0.2">
      <c r="I846" s="14"/>
      <c r="J846" s="14"/>
      <c r="M846" s="12"/>
      <c r="N846" s="12"/>
      <c r="O846" s="12"/>
      <c r="P846" s="12"/>
      <c r="Q846" s="13"/>
    </row>
    <row r="847" spans="9:17" ht="15.75" customHeight="1" x14ac:dyDescent="0.2">
      <c r="I847" s="14"/>
      <c r="J847" s="14"/>
      <c r="M847" s="12"/>
      <c r="N847" s="12"/>
      <c r="O847" s="12"/>
      <c r="P847" s="12"/>
      <c r="Q847" s="13"/>
    </row>
    <row r="848" spans="9:17" ht="15.75" customHeight="1" x14ac:dyDescent="0.2">
      <c r="I848" s="14"/>
      <c r="J848" s="14"/>
      <c r="M848" s="12"/>
      <c r="N848" s="12"/>
      <c r="O848" s="12"/>
      <c r="P848" s="12"/>
      <c r="Q848" s="13"/>
    </row>
    <row r="849" spans="9:17" ht="15.75" customHeight="1" x14ac:dyDescent="0.2">
      <c r="I849" s="14"/>
      <c r="J849" s="14"/>
      <c r="M849" s="12"/>
      <c r="N849" s="12"/>
      <c r="O849" s="12"/>
      <c r="P849" s="12"/>
      <c r="Q849" s="13"/>
    </row>
    <row r="850" spans="9:17" ht="15.75" customHeight="1" x14ac:dyDescent="0.2">
      <c r="I850" s="14"/>
      <c r="J850" s="14"/>
      <c r="M850" s="12"/>
      <c r="N850" s="12"/>
      <c r="O850" s="12"/>
      <c r="P850" s="12"/>
      <c r="Q850" s="13"/>
    </row>
    <row r="851" spans="9:17" ht="15.75" customHeight="1" x14ac:dyDescent="0.2">
      <c r="I851" s="14"/>
      <c r="J851" s="14"/>
      <c r="M851" s="12"/>
      <c r="N851" s="12"/>
      <c r="O851" s="12"/>
      <c r="P851" s="12"/>
      <c r="Q851" s="13"/>
    </row>
    <row r="852" spans="9:17" ht="15.75" customHeight="1" x14ac:dyDescent="0.2">
      <c r="I852" s="14"/>
      <c r="J852" s="14"/>
      <c r="M852" s="12"/>
      <c r="N852" s="12"/>
      <c r="O852" s="12"/>
      <c r="P852" s="12"/>
      <c r="Q852" s="13"/>
    </row>
    <row r="853" spans="9:17" ht="15.75" customHeight="1" x14ac:dyDescent="0.2">
      <c r="I853" s="14"/>
      <c r="J853" s="14"/>
      <c r="M853" s="12"/>
      <c r="N853" s="12"/>
      <c r="O853" s="12"/>
      <c r="P853" s="12"/>
      <c r="Q853" s="13"/>
    </row>
    <row r="854" spans="9:17" ht="15.75" customHeight="1" x14ac:dyDescent="0.2">
      <c r="I854" s="14"/>
      <c r="J854" s="14"/>
      <c r="M854" s="12"/>
      <c r="N854" s="12"/>
      <c r="O854" s="12"/>
      <c r="P854" s="12"/>
      <c r="Q854" s="13"/>
    </row>
    <row r="855" spans="9:17" ht="15.75" customHeight="1" x14ac:dyDescent="0.2">
      <c r="I855" s="14"/>
      <c r="J855" s="14"/>
      <c r="M855" s="12"/>
      <c r="N855" s="12"/>
      <c r="O855" s="12"/>
      <c r="P855" s="12"/>
      <c r="Q855" s="13"/>
    </row>
    <row r="856" spans="9:17" ht="15.75" customHeight="1" x14ac:dyDescent="0.2">
      <c r="I856" s="14"/>
      <c r="J856" s="14"/>
      <c r="M856" s="12"/>
      <c r="N856" s="12"/>
      <c r="O856" s="12"/>
      <c r="P856" s="12"/>
      <c r="Q856" s="13"/>
    </row>
    <row r="857" spans="9:17" ht="15.75" customHeight="1" x14ac:dyDescent="0.2">
      <c r="I857" s="14"/>
      <c r="J857" s="14"/>
      <c r="M857" s="12"/>
      <c r="N857" s="12"/>
      <c r="O857" s="12"/>
      <c r="P857" s="12"/>
      <c r="Q857" s="13"/>
    </row>
    <row r="858" spans="9:17" ht="15.75" customHeight="1" x14ac:dyDescent="0.2">
      <c r="I858" s="14"/>
      <c r="J858" s="14"/>
      <c r="M858" s="12"/>
      <c r="N858" s="12"/>
      <c r="O858" s="12"/>
      <c r="P858" s="12"/>
      <c r="Q858" s="13"/>
    </row>
    <row r="859" spans="9:17" ht="15.75" customHeight="1" x14ac:dyDescent="0.2">
      <c r="I859" s="14"/>
      <c r="J859" s="14"/>
      <c r="M859" s="12"/>
      <c r="N859" s="12"/>
      <c r="O859" s="12"/>
      <c r="P859" s="12"/>
      <c r="Q859" s="13"/>
    </row>
    <row r="860" spans="9:17" ht="15.75" customHeight="1" x14ac:dyDescent="0.2">
      <c r="I860" s="14"/>
      <c r="J860" s="14"/>
      <c r="M860" s="12"/>
      <c r="N860" s="12"/>
      <c r="O860" s="12"/>
      <c r="P860" s="12"/>
      <c r="Q860" s="13"/>
    </row>
    <row r="861" spans="9:17" ht="15.75" customHeight="1" x14ac:dyDescent="0.2">
      <c r="I861" s="14"/>
      <c r="J861" s="14"/>
      <c r="M861" s="12"/>
      <c r="N861" s="12"/>
      <c r="O861" s="12"/>
      <c r="P861" s="12"/>
      <c r="Q861" s="13"/>
    </row>
    <row r="862" spans="9:17" ht="15.75" customHeight="1" x14ac:dyDescent="0.2">
      <c r="I862" s="14"/>
      <c r="J862" s="14"/>
      <c r="M862" s="12"/>
      <c r="N862" s="12"/>
      <c r="O862" s="12"/>
      <c r="P862" s="12"/>
      <c r="Q862" s="13"/>
    </row>
    <row r="863" spans="9:17" ht="15.75" customHeight="1" x14ac:dyDescent="0.2">
      <c r="I863" s="14"/>
      <c r="J863" s="14"/>
      <c r="M863" s="12"/>
      <c r="N863" s="12"/>
      <c r="O863" s="12"/>
      <c r="P863" s="12"/>
      <c r="Q863" s="13"/>
    </row>
    <row r="864" spans="9:17" ht="15.75" customHeight="1" x14ac:dyDescent="0.2">
      <c r="I864" s="14"/>
      <c r="J864" s="14"/>
      <c r="M864" s="12"/>
      <c r="N864" s="12"/>
      <c r="O864" s="12"/>
      <c r="P864" s="12"/>
      <c r="Q864" s="13"/>
    </row>
    <row r="865" spans="9:17" ht="15.75" customHeight="1" x14ac:dyDescent="0.2">
      <c r="I865" s="14"/>
      <c r="J865" s="14"/>
      <c r="M865" s="12"/>
      <c r="N865" s="12"/>
      <c r="O865" s="12"/>
      <c r="P865" s="12"/>
      <c r="Q865" s="13"/>
    </row>
    <row r="866" spans="9:17" ht="15.75" customHeight="1" x14ac:dyDescent="0.2">
      <c r="I866" s="14"/>
      <c r="J866" s="14"/>
      <c r="M866" s="12"/>
      <c r="N866" s="12"/>
      <c r="O866" s="12"/>
      <c r="P866" s="12"/>
      <c r="Q866" s="13"/>
    </row>
    <row r="867" spans="9:17" ht="15.75" customHeight="1" x14ac:dyDescent="0.2">
      <c r="I867" s="14"/>
      <c r="J867" s="14"/>
      <c r="M867" s="12"/>
      <c r="N867" s="12"/>
      <c r="O867" s="12"/>
      <c r="P867" s="12"/>
      <c r="Q867" s="13"/>
    </row>
    <row r="868" spans="9:17" ht="15.75" customHeight="1" x14ac:dyDescent="0.2">
      <c r="I868" s="14"/>
      <c r="J868" s="14"/>
      <c r="M868" s="12"/>
      <c r="N868" s="12"/>
      <c r="O868" s="12"/>
      <c r="P868" s="12"/>
      <c r="Q868" s="13"/>
    </row>
    <row r="869" spans="9:17" ht="15.75" customHeight="1" x14ac:dyDescent="0.2">
      <c r="I869" s="14"/>
      <c r="J869" s="14"/>
      <c r="M869" s="12"/>
      <c r="N869" s="12"/>
      <c r="O869" s="12"/>
      <c r="P869" s="12"/>
      <c r="Q869" s="13"/>
    </row>
    <row r="870" spans="9:17" ht="15.75" customHeight="1" x14ac:dyDescent="0.2">
      <c r="I870" s="14"/>
      <c r="J870" s="14"/>
      <c r="M870" s="12"/>
      <c r="N870" s="12"/>
      <c r="O870" s="12"/>
      <c r="P870" s="12"/>
      <c r="Q870" s="13"/>
    </row>
    <row r="871" spans="9:17" ht="15.75" customHeight="1" x14ac:dyDescent="0.2">
      <c r="I871" s="14"/>
      <c r="J871" s="14"/>
      <c r="M871" s="12"/>
      <c r="N871" s="12"/>
      <c r="O871" s="12"/>
      <c r="P871" s="12"/>
      <c r="Q871" s="13"/>
    </row>
    <row r="872" spans="9:17" ht="15.75" customHeight="1" x14ac:dyDescent="0.2">
      <c r="I872" s="14"/>
      <c r="J872" s="14"/>
      <c r="M872" s="12"/>
      <c r="N872" s="12"/>
      <c r="O872" s="12"/>
      <c r="P872" s="12"/>
      <c r="Q872" s="13"/>
    </row>
    <row r="873" spans="9:17" ht="15.75" customHeight="1" x14ac:dyDescent="0.2">
      <c r="I873" s="14"/>
      <c r="J873" s="14"/>
      <c r="M873" s="12"/>
      <c r="N873" s="12"/>
      <c r="O873" s="12"/>
      <c r="P873" s="12"/>
      <c r="Q873" s="13"/>
    </row>
    <row r="874" spans="9:17" ht="15.75" customHeight="1" x14ac:dyDescent="0.2">
      <c r="I874" s="14"/>
      <c r="J874" s="14"/>
      <c r="M874" s="12"/>
      <c r="N874" s="12"/>
      <c r="O874" s="12"/>
      <c r="P874" s="12"/>
      <c r="Q874" s="13"/>
    </row>
    <row r="875" spans="9:17" ht="15.75" customHeight="1" x14ac:dyDescent="0.2">
      <c r="I875" s="14"/>
      <c r="J875" s="14"/>
      <c r="M875" s="12"/>
      <c r="N875" s="12"/>
      <c r="O875" s="12"/>
      <c r="P875" s="12"/>
      <c r="Q875" s="13"/>
    </row>
    <row r="876" spans="9:17" ht="15.75" customHeight="1" x14ac:dyDescent="0.2">
      <c r="I876" s="14"/>
      <c r="J876" s="14"/>
      <c r="M876" s="12"/>
      <c r="N876" s="12"/>
      <c r="O876" s="12"/>
      <c r="P876" s="12"/>
      <c r="Q876" s="13"/>
    </row>
    <row r="877" spans="9:17" ht="15.75" customHeight="1" x14ac:dyDescent="0.2">
      <c r="I877" s="14"/>
      <c r="J877" s="14"/>
      <c r="M877" s="12"/>
      <c r="N877" s="12"/>
      <c r="O877" s="12"/>
      <c r="P877" s="12"/>
      <c r="Q877" s="13"/>
    </row>
    <row r="878" spans="9:17" ht="15.75" customHeight="1" x14ac:dyDescent="0.2">
      <c r="I878" s="14"/>
      <c r="J878" s="14"/>
      <c r="M878" s="12"/>
      <c r="N878" s="12"/>
      <c r="O878" s="12"/>
      <c r="P878" s="12"/>
      <c r="Q878" s="13"/>
    </row>
    <row r="879" spans="9:17" ht="15.75" customHeight="1" x14ac:dyDescent="0.2">
      <c r="I879" s="14"/>
      <c r="J879" s="14"/>
      <c r="M879" s="12"/>
      <c r="N879" s="12"/>
      <c r="O879" s="12"/>
      <c r="P879" s="12"/>
      <c r="Q879" s="13"/>
    </row>
    <row r="880" spans="9:17" ht="15.75" customHeight="1" x14ac:dyDescent="0.2">
      <c r="I880" s="14"/>
      <c r="J880" s="14"/>
      <c r="M880" s="12"/>
      <c r="N880" s="12"/>
      <c r="O880" s="12"/>
      <c r="P880" s="12"/>
      <c r="Q880" s="13"/>
    </row>
    <row r="881" spans="9:17" ht="15.75" customHeight="1" x14ac:dyDescent="0.2">
      <c r="I881" s="14"/>
      <c r="J881" s="14"/>
      <c r="M881" s="12"/>
      <c r="N881" s="12"/>
      <c r="O881" s="12"/>
      <c r="P881" s="12"/>
      <c r="Q881" s="13"/>
    </row>
    <row r="882" spans="9:17" ht="15.75" customHeight="1" x14ac:dyDescent="0.2">
      <c r="I882" s="14"/>
      <c r="J882" s="14"/>
      <c r="M882" s="12"/>
      <c r="N882" s="12"/>
      <c r="O882" s="12"/>
      <c r="P882" s="12"/>
      <c r="Q882" s="13"/>
    </row>
    <row r="883" spans="9:17" ht="15.75" customHeight="1" x14ac:dyDescent="0.2">
      <c r="I883" s="14"/>
      <c r="J883" s="14"/>
      <c r="M883" s="12"/>
      <c r="N883" s="12"/>
      <c r="O883" s="12"/>
      <c r="P883" s="12"/>
      <c r="Q883" s="13"/>
    </row>
    <row r="884" spans="9:17" ht="15.75" customHeight="1" x14ac:dyDescent="0.2">
      <c r="I884" s="14"/>
      <c r="J884" s="14"/>
      <c r="M884" s="12"/>
      <c r="N884" s="12"/>
      <c r="O884" s="12"/>
      <c r="P884" s="12"/>
      <c r="Q884" s="13"/>
    </row>
    <row r="885" spans="9:17" ht="15.75" customHeight="1" x14ac:dyDescent="0.2">
      <c r="I885" s="14"/>
      <c r="J885" s="14"/>
      <c r="M885" s="12"/>
      <c r="N885" s="12"/>
      <c r="O885" s="12"/>
      <c r="P885" s="12"/>
      <c r="Q885" s="13"/>
    </row>
    <row r="886" spans="9:17" ht="15.75" customHeight="1" x14ac:dyDescent="0.2">
      <c r="I886" s="14"/>
      <c r="J886" s="14"/>
      <c r="M886" s="12"/>
      <c r="N886" s="12"/>
      <c r="O886" s="12"/>
      <c r="P886" s="12"/>
      <c r="Q886" s="13"/>
    </row>
    <row r="887" spans="9:17" ht="15.75" customHeight="1" x14ac:dyDescent="0.2">
      <c r="I887" s="14"/>
      <c r="J887" s="14"/>
      <c r="M887" s="12"/>
      <c r="N887" s="12"/>
      <c r="O887" s="12"/>
      <c r="P887" s="12"/>
      <c r="Q887" s="13"/>
    </row>
    <row r="888" spans="9:17" ht="15.75" customHeight="1" x14ac:dyDescent="0.2">
      <c r="I888" s="14"/>
      <c r="J888" s="14"/>
      <c r="M888" s="12"/>
      <c r="N888" s="12"/>
      <c r="O888" s="12"/>
      <c r="P888" s="12"/>
      <c r="Q888" s="13"/>
    </row>
    <row r="889" spans="9:17" ht="15.75" customHeight="1" x14ac:dyDescent="0.2">
      <c r="I889" s="14"/>
      <c r="J889" s="14"/>
      <c r="M889" s="12"/>
      <c r="N889" s="12"/>
      <c r="O889" s="12"/>
      <c r="P889" s="12"/>
      <c r="Q889" s="13"/>
    </row>
    <row r="890" spans="9:17" ht="15.75" customHeight="1" x14ac:dyDescent="0.2">
      <c r="I890" s="14"/>
      <c r="J890" s="14"/>
      <c r="M890" s="12"/>
      <c r="N890" s="12"/>
      <c r="O890" s="12"/>
      <c r="P890" s="12"/>
      <c r="Q890" s="13"/>
    </row>
    <row r="891" spans="9:17" ht="15.75" customHeight="1" x14ac:dyDescent="0.2">
      <c r="I891" s="14"/>
      <c r="J891" s="14"/>
      <c r="M891" s="12"/>
      <c r="N891" s="12"/>
      <c r="O891" s="12"/>
      <c r="P891" s="12"/>
      <c r="Q891" s="13"/>
    </row>
    <row r="892" spans="9:17" ht="15.75" customHeight="1" x14ac:dyDescent="0.2">
      <c r="I892" s="14"/>
      <c r="J892" s="14"/>
      <c r="M892" s="12"/>
      <c r="N892" s="12"/>
      <c r="O892" s="12"/>
      <c r="P892" s="12"/>
      <c r="Q892" s="13"/>
    </row>
    <row r="893" spans="9:17" ht="15.75" customHeight="1" x14ac:dyDescent="0.2">
      <c r="I893" s="14"/>
      <c r="J893" s="14"/>
      <c r="M893" s="12"/>
      <c r="N893" s="12"/>
      <c r="O893" s="12"/>
      <c r="P893" s="12"/>
      <c r="Q893" s="13"/>
    </row>
    <row r="894" spans="9:17" ht="15.75" customHeight="1" x14ac:dyDescent="0.2">
      <c r="I894" s="14"/>
      <c r="J894" s="14"/>
      <c r="M894" s="12"/>
      <c r="N894" s="12"/>
      <c r="O894" s="12"/>
      <c r="P894" s="12"/>
      <c r="Q894" s="13"/>
    </row>
    <row r="895" spans="9:17" ht="15.75" customHeight="1" x14ac:dyDescent="0.2">
      <c r="I895" s="14"/>
      <c r="J895" s="14"/>
      <c r="M895" s="12"/>
      <c r="N895" s="12"/>
      <c r="O895" s="12"/>
      <c r="P895" s="12"/>
      <c r="Q895" s="13"/>
    </row>
    <row r="896" spans="9:17" ht="15.75" customHeight="1" x14ac:dyDescent="0.2">
      <c r="I896" s="14"/>
      <c r="J896" s="14"/>
      <c r="M896" s="12"/>
      <c r="N896" s="12"/>
      <c r="O896" s="12"/>
      <c r="P896" s="12"/>
      <c r="Q896" s="13"/>
    </row>
    <row r="897" spans="9:17" ht="15.75" customHeight="1" x14ac:dyDescent="0.2">
      <c r="I897" s="14"/>
      <c r="J897" s="14"/>
      <c r="M897" s="12"/>
      <c r="N897" s="12"/>
      <c r="O897" s="12"/>
      <c r="P897" s="12"/>
      <c r="Q897" s="13"/>
    </row>
    <row r="898" spans="9:17" ht="15.75" customHeight="1" x14ac:dyDescent="0.2">
      <c r="I898" s="14"/>
      <c r="J898" s="14"/>
      <c r="M898" s="12"/>
      <c r="N898" s="12"/>
      <c r="O898" s="12"/>
      <c r="P898" s="12"/>
      <c r="Q898" s="13"/>
    </row>
    <row r="899" spans="9:17" ht="15.75" customHeight="1" x14ac:dyDescent="0.2">
      <c r="I899" s="14"/>
      <c r="J899" s="14"/>
      <c r="M899" s="12"/>
      <c r="N899" s="12"/>
      <c r="O899" s="12"/>
      <c r="P899" s="12"/>
      <c r="Q899" s="13"/>
    </row>
    <row r="900" spans="9:17" ht="15.75" customHeight="1" x14ac:dyDescent="0.2">
      <c r="I900" s="14"/>
      <c r="J900" s="14"/>
      <c r="M900" s="12"/>
      <c r="N900" s="12"/>
      <c r="O900" s="12"/>
      <c r="P900" s="12"/>
      <c r="Q900" s="13"/>
    </row>
    <row r="901" spans="9:17" ht="15.75" customHeight="1" x14ac:dyDescent="0.2">
      <c r="I901" s="14"/>
      <c r="J901" s="14"/>
      <c r="M901" s="12"/>
      <c r="N901" s="12"/>
      <c r="O901" s="12"/>
      <c r="P901" s="12"/>
      <c r="Q901" s="13"/>
    </row>
    <row r="902" spans="9:17" ht="15.75" customHeight="1" x14ac:dyDescent="0.2">
      <c r="I902" s="14"/>
      <c r="J902" s="14"/>
      <c r="M902" s="12"/>
      <c r="N902" s="12"/>
      <c r="O902" s="12"/>
      <c r="P902" s="12"/>
      <c r="Q902" s="13"/>
    </row>
    <row r="903" spans="9:17" ht="15.75" customHeight="1" x14ac:dyDescent="0.2">
      <c r="I903" s="14"/>
      <c r="J903" s="14"/>
      <c r="M903" s="12"/>
      <c r="N903" s="12"/>
      <c r="O903" s="12"/>
      <c r="P903" s="12"/>
      <c r="Q903" s="13"/>
    </row>
    <row r="904" spans="9:17" ht="15.75" customHeight="1" x14ac:dyDescent="0.2">
      <c r="I904" s="14"/>
      <c r="J904" s="14"/>
      <c r="M904" s="12"/>
      <c r="N904" s="12"/>
      <c r="O904" s="12"/>
      <c r="P904" s="12"/>
      <c r="Q904" s="13"/>
    </row>
    <row r="905" spans="9:17" ht="15.75" customHeight="1" x14ac:dyDescent="0.2">
      <c r="I905" s="14"/>
      <c r="J905" s="14"/>
      <c r="M905" s="12"/>
      <c r="N905" s="12"/>
      <c r="O905" s="12"/>
      <c r="P905" s="12"/>
      <c r="Q905" s="13"/>
    </row>
    <row r="906" spans="9:17" ht="15.75" customHeight="1" x14ac:dyDescent="0.2">
      <c r="I906" s="14"/>
      <c r="J906" s="14"/>
      <c r="M906" s="12"/>
      <c r="N906" s="12"/>
      <c r="O906" s="12"/>
      <c r="P906" s="12"/>
      <c r="Q906" s="13"/>
    </row>
    <row r="907" spans="9:17" ht="15.75" customHeight="1" x14ac:dyDescent="0.2">
      <c r="I907" s="14"/>
      <c r="J907" s="14"/>
      <c r="M907" s="12"/>
      <c r="N907" s="12"/>
      <c r="O907" s="12"/>
      <c r="P907" s="12"/>
      <c r="Q907" s="13"/>
    </row>
    <row r="908" spans="9:17" ht="15.75" customHeight="1" x14ac:dyDescent="0.2">
      <c r="I908" s="14"/>
      <c r="J908" s="14"/>
      <c r="M908" s="12"/>
      <c r="N908" s="12"/>
      <c r="O908" s="12"/>
      <c r="P908" s="12"/>
      <c r="Q908" s="13"/>
    </row>
    <row r="909" spans="9:17" ht="15.75" customHeight="1" x14ac:dyDescent="0.2">
      <c r="I909" s="14"/>
      <c r="J909" s="14"/>
      <c r="M909" s="12"/>
      <c r="N909" s="12"/>
      <c r="O909" s="12"/>
      <c r="P909" s="12"/>
      <c r="Q909" s="13"/>
    </row>
    <row r="910" spans="9:17" ht="15.75" customHeight="1" x14ac:dyDescent="0.2">
      <c r="I910" s="14"/>
      <c r="J910" s="14"/>
      <c r="M910" s="12"/>
      <c r="N910" s="12"/>
      <c r="O910" s="12"/>
      <c r="P910" s="12"/>
      <c r="Q910" s="13"/>
    </row>
    <row r="911" spans="9:17" ht="15.75" customHeight="1" x14ac:dyDescent="0.2">
      <c r="I911" s="14"/>
      <c r="J911" s="14"/>
      <c r="M911" s="12"/>
      <c r="N911" s="12"/>
      <c r="O911" s="12"/>
      <c r="P911" s="12"/>
      <c r="Q911" s="13"/>
    </row>
    <row r="912" spans="9:17" ht="15.75" customHeight="1" x14ac:dyDescent="0.2">
      <c r="I912" s="14"/>
      <c r="J912" s="14"/>
      <c r="M912" s="12"/>
      <c r="N912" s="12"/>
      <c r="O912" s="12"/>
      <c r="P912" s="12"/>
      <c r="Q912" s="13"/>
    </row>
    <row r="913" spans="9:17" ht="15.75" customHeight="1" x14ac:dyDescent="0.2">
      <c r="I913" s="14"/>
      <c r="J913" s="14"/>
      <c r="M913" s="12"/>
      <c r="N913" s="12"/>
      <c r="O913" s="12"/>
      <c r="P913" s="12"/>
      <c r="Q913" s="13"/>
    </row>
    <row r="914" spans="9:17" ht="15.75" customHeight="1" x14ac:dyDescent="0.2">
      <c r="I914" s="14"/>
      <c r="J914" s="14"/>
      <c r="M914" s="12"/>
      <c r="N914" s="12"/>
      <c r="O914" s="12"/>
      <c r="P914" s="12"/>
      <c r="Q914" s="13"/>
    </row>
    <row r="915" spans="9:17" ht="15.75" customHeight="1" x14ac:dyDescent="0.2">
      <c r="I915" s="14"/>
      <c r="J915" s="14"/>
      <c r="M915" s="12"/>
      <c r="N915" s="12"/>
      <c r="O915" s="12"/>
      <c r="P915" s="12"/>
      <c r="Q915" s="13"/>
    </row>
    <row r="916" spans="9:17" ht="15.75" customHeight="1" x14ac:dyDescent="0.2">
      <c r="I916" s="14"/>
      <c r="J916" s="14"/>
      <c r="M916" s="12"/>
      <c r="N916" s="12"/>
      <c r="O916" s="12"/>
      <c r="P916" s="12"/>
      <c r="Q916" s="13"/>
    </row>
    <row r="917" spans="9:17" ht="15.75" customHeight="1" x14ac:dyDescent="0.2">
      <c r="I917" s="14"/>
      <c r="J917" s="14"/>
      <c r="M917" s="12"/>
      <c r="N917" s="12"/>
      <c r="O917" s="12"/>
      <c r="P917" s="12"/>
      <c r="Q917" s="13"/>
    </row>
    <row r="918" spans="9:17" ht="15.75" customHeight="1" x14ac:dyDescent="0.2">
      <c r="I918" s="14"/>
      <c r="J918" s="14"/>
      <c r="M918" s="12"/>
      <c r="N918" s="12"/>
      <c r="O918" s="12"/>
      <c r="P918" s="12"/>
      <c r="Q918" s="13"/>
    </row>
    <row r="919" spans="9:17" ht="15.75" customHeight="1" x14ac:dyDescent="0.2">
      <c r="I919" s="14"/>
      <c r="J919" s="14"/>
      <c r="M919" s="12"/>
      <c r="N919" s="12"/>
      <c r="O919" s="12"/>
      <c r="P919" s="12"/>
      <c r="Q919" s="13"/>
    </row>
    <row r="920" spans="9:17" ht="15.75" customHeight="1" x14ac:dyDescent="0.2">
      <c r="I920" s="14"/>
      <c r="J920" s="14"/>
      <c r="M920" s="12"/>
      <c r="N920" s="12"/>
      <c r="O920" s="12"/>
      <c r="P920" s="12"/>
      <c r="Q920" s="13"/>
    </row>
    <row r="921" spans="9:17" ht="15.75" customHeight="1" x14ac:dyDescent="0.2">
      <c r="I921" s="14"/>
      <c r="J921" s="14"/>
      <c r="M921" s="12"/>
      <c r="N921" s="12"/>
      <c r="O921" s="12"/>
      <c r="P921" s="12"/>
      <c r="Q921" s="13"/>
    </row>
    <row r="922" spans="9:17" ht="15.75" customHeight="1" x14ac:dyDescent="0.2">
      <c r="I922" s="14"/>
      <c r="J922" s="14"/>
      <c r="M922" s="12"/>
      <c r="N922" s="12"/>
      <c r="O922" s="12"/>
      <c r="P922" s="12"/>
      <c r="Q922" s="13"/>
    </row>
    <row r="923" spans="9:17" ht="15.75" customHeight="1" x14ac:dyDescent="0.2">
      <c r="I923" s="14"/>
      <c r="J923" s="14"/>
      <c r="M923" s="12"/>
      <c r="N923" s="12"/>
      <c r="O923" s="12"/>
      <c r="P923" s="12"/>
      <c r="Q923" s="13"/>
    </row>
    <row r="924" spans="9:17" ht="15.75" customHeight="1" x14ac:dyDescent="0.2">
      <c r="I924" s="14"/>
      <c r="J924" s="14"/>
      <c r="M924" s="12"/>
      <c r="N924" s="12"/>
      <c r="O924" s="12"/>
      <c r="P924" s="12"/>
      <c r="Q924" s="13"/>
    </row>
    <row r="925" spans="9:17" ht="15.75" customHeight="1" x14ac:dyDescent="0.2">
      <c r="I925" s="14"/>
      <c r="J925" s="14"/>
      <c r="M925" s="12"/>
      <c r="N925" s="12"/>
      <c r="O925" s="12"/>
      <c r="P925" s="12"/>
      <c r="Q925" s="13"/>
    </row>
    <row r="926" spans="9:17" ht="15.75" customHeight="1" x14ac:dyDescent="0.2">
      <c r="I926" s="14"/>
      <c r="J926" s="14"/>
      <c r="M926" s="12"/>
      <c r="N926" s="12"/>
      <c r="O926" s="12"/>
      <c r="P926" s="12"/>
      <c r="Q926" s="13"/>
    </row>
    <row r="927" spans="9:17" ht="15.75" customHeight="1" x14ac:dyDescent="0.2">
      <c r="I927" s="14"/>
      <c r="J927" s="14"/>
      <c r="M927" s="12"/>
      <c r="N927" s="12"/>
      <c r="O927" s="12"/>
      <c r="P927" s="12"/>
      <c r="Q927" s="13"/>
    </row>
    <row r="928" spans="9:17" ht="15.75" customHeight="1" x14ac:dyDescent="0.2">
      <c r="I928" s="14"/>
      <c r="J928" s="14"/>
      <c r="M928" s="12"/>
      <c r="N928" s="12"/>
      <c r="O928" s="12"/>
      <c r="P928" s="12"/>
      <c r="Q928" s="13"/>
    </row>
    <row r="929" spans="9:17" ht="15.75" customHeight="1" x14ac:dyDescent="0.2">
      <c r="I929" s="14"/>
      <c r="J929" s="14"/>
      <c r="M929" s="12"/>
      <c r="N929" s="12"/>
      <c r="O929" s="12"/>
      <c r="P929" s="12"/>
      <c r="Q929" s="13"/>
    </row>
    <row r="930" spans="9:17" ht="15.75" customHeight="1" x14ac:dyDescent="0.2">
      <c r="I930" s="14"/>
      <c r="J930" s="14"/>
      <c r="M930" s="12"/>
      <c r="N930" s="12"/>
      <c r="O930" s="12"/>
      <c r="P930" s="12"/>
      <c r="Q930" s="13"/>
    </row>
    <row r="931" spans="9:17" ht="15.75" customHeight="1" x14ac:dyDescent="0.2">
      <c r="I931" s="14"/>
      <c r="J931" s="14"/>
      <c r="M931" s="12"/>
      <c r="N931" s="12"/>
      <c r="O931" s="12"/>
      <c r="P931" s="12"/>
      <c r="Q931" s="13"/>
    </row>
    <row r="932" spans="9:17" ht="15.75" customHeight="1" x14ac:dyDescent="0.2">
      <c r="I932" s="14"/>
      <c r="J932" s="14"/>
      <c r="M932" s="12"/>
      <c r="N932" s="12"/>
      <c r="O932" s="12"/>
      <c r="P932" s="12"/>
      <c r="Q932" s="13"/>
    </row>
    <row r="933" spans="9:17" ht="15.75" customHeight="1" x14ac:dyDescent="0.2">
      <c r="I933" s="14"/>
      <c r="J933" s="14"/>
      <c r="M933" s="12"/>
      <c r="N933" s="12"/>
      <c r="O933" s="12"/>
      <c r="P933" s="12"/>
      <c r="Q933" s="13"/>
    </row>
    <row r="934" spans="9:17" ht="15.75" customHeight="1" x14ac:dyDescent="0.2">
      <c r="I934" s="14"/>
      <c r="J934" s="14"/>
      <c r="M934" s="12"/>
      <c r="N934" s="12"/>
      <c r="O934" s="12"/>
      <c r="P934" s="12"/>
      <c r="Q934" s="13"/>
    </row>
    <row r="935" spans="9:17" ht="15.75" customHeight="1" x14ac:dyDescent="0.2">
      <c r="I935" s="14"/>
      <c r="J935" s="14"/>
      <c r="M935" s="12"/>
      <c r="N935" s="12"/>
      <c r="O935" s="12"/>
      <c r="P935" s="12"/>
      <c r="Q935" s="13"/>
    </row>
    <row r="936" spans="9:17" ht="15.75" customHeight="1" x14ac:dyDescent="0.2">
      <c r="I936" s="14"/>
      <c r="J936" s="14"/>
      <c r="M936" s="12"/>
      <c r="N936" s="12"/>
      <c r="O936" s="12"/>
      <c r="P936" s="12"/>
      <c r="Q936" s="13"/>
    </row>
    <row r="937" spans="9:17" ht="15.75" customHeight="1" x14ac:dyDescent="0.2">
      <c r="I937" s="14"/>
      <c r="J937" s="14"/>
      <c r="M937" s="12"/>
      <c r="N937" s="12"/>
      <c r="O937" s="12"/>
      <c r="P937" s="12"/>
      <c r="Q937" s="13"/>
    </row>
    <row r="938" spans="9:17" ht="15.75" customHeight="1" x14ac:dyDescent="0.2">
      <c r="I938" s="14"/>
      <c r="J938" s="14"/>
      <c r="M938" s="12"/>
      <c r="N938" s="12"/>
      <c r="O938" s="12"/>
      <c r="P938" s="12"/>
      <c r="Q938" s="13"/>
    </row>
    <row r="939" spans="9:17" ht="15.75" customHeight="1" x14ac:dyDescent="0.2">
      <c r="I939" s="14"/>
      <c r="J939" s="14"/>
      <c r="M939" s="12"/>
      <c r="N939" s="12"/>
      <c r="O939" s="12"/>
      <c r="P939" s="12"/>
      <c r="Q939" s="13"/>
    </row>
    <row r="940" spans="9:17" ht="15.75" customHeight="1" x14ac:dyDescent="0.2">
      <c r="I940" s="14"/>
      <c r="J940" s="14"/>
      <c r="M940" s="12"/>
      <c r="N940" s="12"/>
      <c r="O940" s="12"/>
      <c r="P940" s="12"/>
      <c r="Q940" s="13"/>
    </row>
    <row r="941" spans="9:17" ht="15.75" customHeight="1" x14ac:dyDescent="0.2">
      <c r="I941" s="14"/>
      <c r="J941" s="14"/>
      <c r="M941" s="12"/>
      <c r="N941" s="12"/>
      <c r="O941" s="12"/>
      <c r="P941" s="12"/>
      <c r="Q941" s="13"/>
    </row>
    <row r="942" spans="9:17" ht="15.75" customHeight="1" x14ac:dyDescent="0.2">
      <c r="I942" s="14"/>
      <c r="J942" s="14"/>
      <c r="M942" s="12"/>
      <c r="N942" s="12"/>
      <c r="O942" s="12"/>
      <c r="P942" s="12"/>
      <c r="Q942" s="13"/>
    </row>
    <row r="943" spans="9:17" ht="15.75" customHeight="1" x14ac:dyDescent="0.2">
      <c r="I943" s="14"/>
      <c r="J943" s="14"/>
      <c r="M943" s="12"/>
      <c r="N943" s="12"/>
      <c r="O943" s="12"/>
      <c r="P943" s="12"/>
      <c r="Q943" s="13"/>
    </row>
    <row r="944" spans="9:17" ht="15.75" customHeight="1" x14ac:dyDescent="0.2">
      <c r="I944" s="14"/>
      <c r="J944" s="14"/>
      <c r="M944" s="12"/>
      <c r="N944" s="12"/>
      <c r="O944" s="12"/>
      <c r="P944" s="12"/>
      <c r="Q944" s="13"/>
    </row>
    <row r="945" spans="9:17" ht="15.75" customHeight="1" x14ac:dyDescent="0.2">
      <c r="I945" s="14"/>
      <c r="J945" s="14"/>
      <c r="M945" s="12"/>
      <c r="N945" s="12"/>
      <c r="O945" s="12"/>
      <c r="P945" s="12"/>
      <c r="Q945" s="13"/>
    </row>
    <row r="946" spans="9:17" ht="15.75" customHeight="1" x14ac:dyDescent="0.2">
      <c r="I946" s="14"/>
      <c r="J946" s="14"/>
      <c r="M946" s="12"/>
      <c r="N946" s="12"/>
      <c r="O946" s="12"/>
      <c r="P946" s="12"/>
      <c r="Q946" s="13"/>
    </row>
    <row r="947" spans="9:17" ht="15.75" customHeight="1" x14ac:dyDescent="0.2">
      <c r="I947" s="14"/>
      <c r="J947" s="14"/>
      <c r="M947" s="12"/>
      <c r="N947" s="12"/>
      <c r="O947" s="12"/>
      <c r="P947" s="12"/>
      <c r="Q947" s="13"/>
    </row>
    <row r="948" spans="9:17" ht="15.75" customHeight="1" x14ac:dyDescent="0.2">
      <c r="I948" s="14"/>
      <c r="J948" s="14"/>
      <c r="M948" s="12"/>
      <c r="N948" s="12"/>
      <c r="O948" s="12"/>
      <c r="P948" s="12"/>
      <c r="Q948" s="13"/>
    </row>
    <row r="949" spans="9:17" ht="15.75" customHeight="1" x14ac:dyDescent="0.2">
      <c r="I949" s="14"/>
      <c r="J949" s="14"/>
      <c r="M949" s="12"/>
      <c r="N949" s="12"/>
      <c r="O949" s="12"/>
      <c r="P949" s="12"/>
      <c r="Q949" s="13"/>
    </row>
    <row r="950" spans="9:17" ht="15.75" customHeight="1" x14ac:dyDescent="0.2">
      <c r="I950" s="14"/>
      <c r="J950" s="14"/>
      <c r="M950" s="12"/>
      <c r="N950" s="12"/>
      <c r="O950" s="12"/>
      <c r="P950" s="12"/>
      <c r="Q950" s="13"/>
    </row>
    <row r="951" spans="9:17" ht="15.75" customHeight="1" x14ac:dyDescent="0.2">
      <c r="I951" s="14"/>
      <c r="J951" s="14"/>
      <c r="M951" s="12"/>
      <c r="N951" s="12"/>
      <c r="O951" s="12"/>
      <c r="P951" s="12"/>
      <c r="Q951" s="13"/>
    </row>
    <row r="952" spans="9:17" ht="15.75" customHeight="1" x14ac:dyDescent="0.2">
      <c r="I952" s="14"/>
      <c r="J952" s="14"/>
      <c r="M952" s="12"/>
      <c r="N952" s="12"/>
      <c r="O952" s="12"/>
      <c r="P952" s="12"/>
      <c r="Q952" s="13"/>
    </row>
    <row r="953" spans="9:17" ht="15.75" customHeight="1" x14ac:dyDescent="0.2">
      <c r="I953" s="14"/>
      <c r="J953" s="14"/>
      <c r="M953" s="12"/>
      <c r="N953" s="12"/>
      <c r="O953" s="12"/>
      <c r="P953" s="12"/>
      <c r="Q953" s="13"/>
    </row>
    <row r="954" spans="9:17" ht="15.75" customHeight="1" x14ac:dyDescent="0.2">
      <c r="I954" s="14"/>
      <c r="J954" s="14"/>
      <c r="M954" s="12"/>
      <c r="N954" s="12"/>
      <c r="O954" s="12"/>
      <c r="P954" s="12"/>
      <c r="Q954" s="13"/>
    </row>
    <row r="955" spans="9:17" ht="15.75" customHeight="1" x14ac:dyDescent="0.2">
      <c r="I955" s="14"/>
      <c r="J955" s="14"/>
      <c r="M955" s="12"/>
      <c r="N955" s="12"/>
      <c r="O955" s="12"/>
      <c r="P955" s="12"/>
      <c r="Q955" s="13"/>
    </row>
    <row r="956" spans="9:17" ht="15.75" customHeight="1" x14ac:dyDescent="0.2">
      <c r="I956" s="14"/>
      <c r="J956" s="14"/>
      <c r="M956" s="12"/>
      <c r="N956" s="12"/>
      <c r="O956" s="12"/>
      <c r="P956" s="12"/>
      <c r="Q956" s="13"/>
    </row>
    <row r="957" spans="9:17" ht="15.75" customHeight="1" x14ac:dyDescent="0.2">
      <c r="I957" s="14"/>
      <c r="J957" s="14"/>
      <c r="M957" s="12"/>
      <c r="N957" s="12"/>
      <c r="O957" s="12"/>
      <c r="P957" s="12"/>
      <c r="Q957" s="13"/>
    </row>
    <row r="958" spans="9:17" ht="15.75" customHeight="1" x14ac:dyDescent="0.2">
      <c r="I958" s="14"/>
      <c r="J958" s="14"/>
      <c r="M958" s="12"/>
      <c r="N958" s="12"/>
      <c r="O958" s="12"/>
      <c r="P958" s="12"/>
      <c r="Q958" s="13"/>
    </row>
    <row r="959" spans="9:17" ht="15.75" customHeight="1" x14ac:dyDescent="0.2">
      <c r="I959" s="14"/>
      <c r="J959" s="14"/>
      <c r="M959" s="12"/>
      <c r="N959" s="12"/>
      <c r="O959" s="12"/>
      <c r="P959" s="12"/>
      <c r="Q959" s="13"/>
    </row>
    <row r="960" spans="9:17" ht="15.75" customHeight="1" x14ac:dyDescent="0.2">
      <c r="I960" s="14"/>
      <c r="J960" s="14"/>
      <c r="M960" s="12"/>
      <c r="N960" s="12"/>
      <c r="O960" s="12"/>
      <c r="P960" s="12"/>
      <c r="Q960" s="13"/>
    </row>
    <row r="961" spans="9:17" ht="15.75" customHeight="1" x14ac:dyDescent="0.2">
      <c r="I961" s="14"/>
      <c r="J961" s="14"/>
      <c r="M961" s="12"/>
      <c r="N961" s="12"/>
      <c r="O961" s="12"/>
      <c r="P961" s="12"/>
      <c r="Q961" s="13"/>
    </row>
    <row r="962" spans="9:17" ht="15.75" customHeight="1" x14ac:dyDescent="0.2">
      <c r="I962" s="14"/>
      <c r="J962" s="14"/>
      <c r="M962" s="12"/>
      <c r="N962" s="12"/>
      <c r="O962" s="12"/>
      <c r="P962" s="12"/>
      <c r="Q962" s="13"/>
    </row>
    <row r="963" spans="9:17" ht="15.75" customHeight="1" x14ac:dyDescent="0.2">
      <c r="I963" s="14"/>
      <c r="J963" s="14"/>
      <c r="M963" s="12"/>
      <c r="N963" s="12"/>
      <c r="O963" s="12"/>
      <c r="P963" s="12"/>
      <c r="Q963" s="13"/>
    </row>
    <row r="964" spans="9:17" ht="15.75" customHeight="1" x14ac:dyDescent="0.2">
      <c r="I964" s="14"/>
      <c r="J964" s="14"/>
      <c r="M964" s="12"/>
      <c r="N964" s="12"/>
      <c r="O964" s="12"/>
      <c r="P964" s="12"/>
      <c r="Q964" s="13"/>
    </row>
    <row r="965" spans="9:17" ht="15.75" customHeight="1" x14ac:dyDescent="0.2">
      <c r="I965" s="14"/>
      <c r="J965" s="14"/>
      <c r="M965" s="12"/>
      <c r="N965" s="12"/>
      <c r="O965" s="12"/>
      <c r="P965" s="12"/>
      <c r="Q965" s="13"/>
    </row>
    <row r="966" spans="9:17" ht="15.75" customHeight="1" x14ac:dyDescent="0.2">
      <c r="I966" s="14"/>
      <c r="J966" s="14"/>
      <c r="M966" s="12"/>
      <c r="N966" s="12"/>
      <c r="O966" s="12"/>
      <c r="P966" s="12"/>
      <c r="Q966" s="13"/>
    </row>
    <row r="967" spans="9:17" ht="15.75" customHeight="1" x14ac:dyDescent="0.2">
      <c r="I967" s="14"/>
      <c r="J967" s="14"/>
      <c r="M967" s="12"/>
      <c r="N967" s="12"/>
      <c r="O967" s="12"/>
      <c r="P967" s="12"/>
      <c r="Q967" s="13"/>
    </row>
    <row r="968" spans="9:17" ht="15.75" customHeight="1" x14ac:dyDescent="0.2">
      <c r="I968" s="14"/>
      <c r="J968" s="14"/>
      <c r="M968" s="12"/>
      <c r="N968" s="12"/>
      <c r="O968" s="12"/>
      <c r="P968" s="12"/>
      <c r="Q968" s="13"/>
    </row>
    <row r="969" spans="9:17" ht="15.75" customHeight="1" x14ac:dyDescent="0.2">
      <c r="I969" s="14"/>
      <c r="J969" s="14"/>
      <c r="M969" s="12"/>
      <c r="N969" s="12"/>
      <c r="O969" s="12"/>
      <c r="P969" s="12"/>
      <c r="Q969" s="13"/>
    </row>
    <row r="970" spans="9:17" ht="15.75" customHeight="1" x14ac:dyDescent="0.2">
      <c r="I970" s="14"/>
      <c r="J970" s="14"/>
      <c r="M970" s="12"/>
      <c r="N970" s="12"/>
      <c r="O970" s="12"/>
      <c r="P970" s="12"/>
      <c r="Q970" s="13"/>
    </row>
    <row r="971" spans="9:17" ht="15.75" customHeight="1" x14ac:dyDescent="0.2">
      <c r="I971" s="14"/>
      <c r="J971" s="14"/>
      <c r="M971" s="12"/>
      <c r="N971" s="12"/>
      <c r="O971" s="12"/>
      <c r="P971" s="12"/>
      <c r="Q971" s="13"/>
    </row>
    <row r="972" spans="9:17" ht="15.75" customHeight="1" x14ac:dyDescent="0.2">
      <c r="I972" s="14"/>
      <c r="J972" s="14"/>
      <c r="M972" s="12"/>
      <c r="N972" s="12"/>
      <c r="O972" s="12"/>
      <c r="P972" s="12"/>
      <c r="Q972" s="13"/>
    </row>
    <row r="973" spans="9:17" ht="15.75" customHeight="1" x14ac:dyDescent="0.2">
      <c r="I973" s="14"/>
      <c r="J973" s="14"/>
      <c r="M973" s="12"/>
      <c r="N973" s="12"/>
      <c r="O973" s="12"/>
      <c r="P973" s="12"/>
      <c r="Q973" s="13"/>
    </row>
    <row r="974" spans="9:17" ht="15.75" customHeight="1" x14ac:dyDescent="0.2">
      <c r="I974" s="14"/>
      <c r="J974" s="14"/>
      <c r="M974" s="12"/>
      <c r="N974" s="12"/>
      <c r="O974" s="12"/>
      <c r="P974" s="12"/>
      <c r="Q974" s="13"/>
    </row>
    <row r="975" spans="9:17" ht="15.75" customHeight="1" x14ac:dyDescent="0.2">
      <c r="I975" s="14"/>
      <c r="J975" s="14"/>
      <c r="M975" s="12"/>
      <c r="N975" s="12"/>
      <c r="O975" s="12"/>
      <c r="P975" s="12"/>
      <c r="Q975" s="13"/>
    </row>
    <row r="976" spans="9:17" ht="15.75" customHeight="1" x14ac:dyDescent="0.2">
      <c r="I976" s="14"/>
      <c r="J976" s="14"/>
      <c r="M976" s="12"/>
      <c r="N976" s="12"/>
      <c r="O976" s="12"/>
      <c r="P976" s="12"/>
      <c r="Q976" s="13"/>
    </row>
    <row r="977" spans="9:17" ht="15.75" customHeight="1" x14ac:dyDescent="0.2">
      <c r="I977" s="14"/>
      <c r="J977" s="14"/>
      <c r="M977" s="12"/>
      <c r="N977" s="12"/>
      <c r="O977" s="12"/>
      <c r="P977" s="12"/>
      <c r="Q977" s="13"/>
    </row>
    <row r="978" spans="9:17" ht="15.75" customHeight="1" x14ac:dyDescent="0.2">
      <c r="I978" s="14"/>
      <c r="J978" s="14"/>
      <c r="M978" s="12"/>
      <c r="N978" s="12"/>
      <c r="O978" s="12"/>
      <c r="P978" s="12"/>
      <c r="Q978" s="13"/>
    </row>
    <row r="979" spans="9:17" ht="15.75" customHeight="1" x14ac:dyDescent="0.2">
      <c r="I979" s="14"/>
      <c r="J979" s="14"/>
      <c r="M979" s="12"/>
      <c r="N979" s="12"/>
      <c r="O979" s="12"/>
      <c r="P979" s="12"/>
      <c r="Q979" s="13"/>
    </row>
    <row r="980" spans="9:17" ht="15.75" customHeight="1" x14ac:dyDescent="0.2">
      <c r="I980" s="14"/>
      <c r="J980" s="14"/>
      <c r="M980" s="12"/>
      <c r="N980" s="12"/>
      <c r="O980" s="12"/>
      <c r="P980" s="12"/>
      <c r="Q980" s="13"/>
    </row>
    <row r="981" spans="9:17" ht="15.75" customHeight="1" x14ac:dyDescent="0.2">
      <c r="I981" s="14"/>
      <c r="J981" s="14"/>
      <c r="M981" s="12"/>
      <c r="N981" s="12"/>
      <c r="O981" s="12"/>
      <c r="P981" s="12"/>
      <c r="Q981" s="13"/>
    </row>
    <row r="982" spans="9:17" ht="15.75" customHeight="1" x14ac:dyDescent="0.2">
      <c r="I982" s="14"/>
      <c r="J982" s="14"/>
      <c r="M982" s="12"/>
      <c r="N982" s="12"/>
      <c r="O982" s="12"/>
      <c r="P982" s="12"/>
      <c r="Q982" s="13"/>
    </row>
    <row r="983" spans="9:17" ht="15.75" customHeight="1" x14ac:dyDescent="0.2">
      <c r="I983" s="14"/>
      <c r="J983" s="14"/>
      <c r="M983" s="12"/>
      <c r="N983" s="12"/>
      <c r="O983" s="12"/>
      <c r="P983" s="12"/>
      <c r="Q983" s="13"/>
    </row>
    <row r="984" spans="9:17" ht="15.75" customHeight="1" x14ac:dyDescent="0.2">
      <c r="I984" s="14"/>
      <c r="J984" s="14"/>
      <c r="M984" s="12"/>
      <c r="N984" s="12"/>
      <c r="O984" s="12"/>
      <c r="P984" s="12"/>
      <c r="Q984" s="13"/>
    </row>
    <row r="985" spans="9:17" ht="15.75" customHeight="1" x14ac:dyDescent="0.2">
      <c r="I985" s="14"/>
      <c r="J985" s="14"/>
      <c r="M985" s="12"/>
      <c r="N985" s="12"/>
      <c r="O985" s="12"/>
      <c r="P985" s="12"/>
      <c r="Q985" s="13"/>
    </row>
    <row r="986" spans="9:17" ht="15.75" customHeight="1" x14ac:dyDescent="0.2">
      <c r="I986" s="14"/>
      <c r="J986" s="14"/>
      <c r="M986" s="12"/>
      <c r="N986" s="12"/>
      <c r="O986" s="12"/>
      <c r="P986" s="12"/>
      <c r="Q986" s="13"/>
    </row>
    <row r="987" spans="9:17" ht="15.75" customHeight="1" x14ac:dyDescent="0.2">
      <c r="I987" s="14"/>
      <c r="J987" s="14"/>
      <c r="M987" s="12"/>
      <c r="N987" s="12"/>
      <c r="O987" s="12"/>
      <c r="P987" s="12"/>
      <c r="Q987" s="13"/>
    </row>
    <row r="988" spans="9:17" ht="15.75" customHeight="1" x14ac:dyDescent="0.2">
      <c r="I988" s="14"/>
      <c r="J988" s="14"/>
      <c r="M988" s="12"/>
      <c r="N988" s="12"/>
      <c r="O988" s="12"/>
      <c r="P988" s="12"/>
      <c r="Q988" s="13"/>
    </row>
    <row r="989" spans="9:17" ht="15.75" customHeight="1" x14ac:dyDescent="0.2">
      <c r="I989" s="14"/>
      <c r="J989" s="14"/>
      <c r="M989" s="12"/>
      <c r="N989" s="12"/>
      <c r="O989" s="12"/>
      <c r="P989" s="12"/>
      <c r="Q989" s="13"/>
    </row>
    <row r="990" spans="9:17" ht="15.75" customHeight="1" x14ac:dyDescent="0.2">
      <c r="I990" s="14"/>
      <c r="J990" s="14"/>
      <c r="M990" s="12"/>
      <c r="N990" s="12"/>
      <c r="O990" s="12"/>
      <c r="P990" s="12"/>
      <c r="Q990" s="13"/>
    </row>
    <row r="991" spans="9:17" ht="15.75" customHeight="1" x14ac:dyDescent="0.2">
      <c r="I991" s="14"/>
      <c r="J991" s="14"/>
      <c r="M991" s="12"/>
      <c r="N991" s="12"/>
      <c r="O991" s="12"/>
      <c r="P991" s="12"/>
      <c r="Q991" s="13"/>
    </row>
    <row r="992" spans="9:17" ht="15.75" customHeight="1" x14ac:dyDescent="0.2">
      <c r="I992" s="14"/>
      <c r="J992" s="14"/>
      <c r="M992" s="12"/>
      <c r="N992" s="12"/>
      <c r="O992" s="12"/>
      <c r="P992" s="12"/>
      <c r="Q992" s="13"/>
    </row>
    <row r="993" spans="9:17" ht="15.75" customHeight="1" x14ac:dyDescent="0.2">
      <c r="I993" s="14"/>
      <c r="J993" s="14"/>
      <c r="M993" s="12"/>
      <c r="N993" s="12"/>
      <c r="O993" s="12"/>
      <c r="P993" s="12"/>
      <c r="Q993" s="13"/>
    </row>
    <row r="994" spans="9:17" ht="15.75" customHeight="1" x14ac:dyDescent="0.2">
      <c r="I994" s="14"/>
      <c r="J994" s="14"/>
      <c r="M994" s="12"/>
      <c r="N994" s="12"/>
      <c r="O994" s="12"/>
      <c r="P994" s="12"/>
      <c r="Q994" s="13"/>
    </row>
    <row r="995" spans="9:17" ht="15.75" customHeight="1" x14ac:dyDescent="0.2">
      <c r="I995" s="14"/>
      <c r="J995" s="14"/>
      <c r="M995" s="12"/>
      <c r="N995" s="12"/>
      <c r="O995" s="12"/>
      <c r="P995" s="12"/>
      <c r="Q995" s="13"/>
    </row>
    <row r="996" spans="9:17" ht="15.75" customHeight="1" x14ac:dyDescent="0.2">
      <c r="I996" s="14"/>
      <c r="J996" s="14"/>
      <c r="M996" s="12"/>
      <c r="N996" s="12"/>
      <c r="O996" s="12"/>
      <c r="P996" s="12"/>
      <c r="Q996" s="13"/>
    </row>
    <row r="997" spans="9:17" ht="15.75" customHeight="1" x14ac:dyDescent="0.2">
      <c r="I997" s="14"/>
      <c r="J997" s="14"/>
      <c r="M997" s="12"/>
      <c r="N997" s="12"/>
      <c r="O997" s="12"/>
      <c r="P997" s="12"/>
      <c r="Q997" s="13"/>
    </row>
    <row r="998" spans="9:17" ht="15.75" customHeight="1" x14ac:dyDescent="0.2">
      <c r="I998" s="14"/>
      <c r="J998" s="14"/>
      <c r="M998" s="12"/>
      <c r="N998" s="12"/>
      <c r="O998" s="12"/>
      <c r="P998" s="12"/>
      <c r="Q998" s="13"/>
    </row>
    <row r="999" spans="9:17" ht="15.75" customHeight="1" x14ac:dyDescent="0.2">
      <c r="I999" s="14"/>
      <c r="J999" s="14"/>
      <c r="M999" s="12"/>
      <c r="N999" s="12"/>
      <c r="O999" s="12"/>
      <c r="P999" s="12"/>
      <c r="Q999" s="13"/>
    </row>
    <row r="1000" spans="9:17" ht="15.75" customHeight="1" x14ac:dyDescent="0.2">
      <c r="I1000" s="14"/>
      <c r="J1000" s="14"/>
      <c r="M1000" s="12"/>
      <c r="N1000" s="12"/>
      <c r="O1000" s="12"/>
      <c r="P1000" s="12"/>
      <c r="Q1000" s="13"/>
    </row>
    <row r="1001" spans="9:17" ht="15.75" customHeight="1" x14ac:dyDescent="0.2">
      <c r="I1001" s="14"/>
      <c r="J1001" s="14"/>
      <c r="M1001" s="12"/>
      <c r="N1001" s="12"/>
      <c r="O1001" s="12"/>
      <c r="P1001" s="12"/>
      <c r="Q1001" s="13"/>
    </row>
  </sheetData>
  <hyperlinks>
    <hyperlink ref="M97" r:id="rId1" display="I prefer 4 to 3 here because this does get the intent right: atan2 is computing an angle! Willing to do 3 though if oscarch@wm.edu feels strongly." xr:uid="{00000000-0004-0000-0000-000000000000}"/>
    <hyperlink ref="M115" r:id="rId2" xr:uid="{00000000-0004-0000-0000-000001000000}"/>
    <hyperlink ref="M172" r:id="rId3" display="I don't understand why you'd give this a 1 Erfan Arvan it looks mostly right to me" xr:uid="{00000000-0004-0000-0000-000002000000}"/>
    <hyperlink ref="P172" r:id="rId4" display="&quot;in the user's system&quot; suggests the method is checking system configuration or hardware, which it is not doing. So I think they missed the overall intent; they also missed the details as well, I am okay with at most 3. Oscar Chaparro" xr:uid="{00000000-0004-0000-0000-000003000000}"/>
    <hyperlink ref="M206" r:id="rId5" display="summary is definitely wrong! Why did you give this a 5 oscarch@wm.edu ?" xr:uid="{00000000-0004-0000-0000-000004000000}"/>
    <hyperlink ref="M265" r:id="rId6" xr:uid="{00000000-0004-0000-0000-000005000000}"/>
    <hyperlink ref="M271" r:id="rId7" xr:uid="{00000000-0004-0000-0000-000006000000}"/>
  </hyperlinks>
  <pageMargins left="0.7" right="0.7" top="0.75" bottom="0.75" header="0" footer="0"/>
  <pageSetup orientation="landscape"/>
  <legacyDrawing r:id="rId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Arvan, Erfan</dc:creator>
  <cp:lastModifiedBy>Arvan, Erfan</cp:lastModifiedBy>
  <dcterms:created xsi:type="dcterms:W3CDTF">2026-03-12T17:41:59Z</dcterms:created>
  <dcterms:modified xsi:type="dcterms:W3CDTF">2026-03-26T14:24:50Z</dcterms:modified>
</cp:coreProperties>
</file>